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rmien\UdeChile\Nuevos Temas\Congreso Geografia 2028\"/>
    </mc:Choice>
  </mc:AlternateContent>
  <xr:revisionPtr revIDLastSave="0" documentId="8_{882B290E-735D-432B-A5C6-076D1D6F3C7F}" xr6:coauthVersionLast="47" xr6:coauthVersionMax="47" xr10:uidLastSave="{00000000-0000-0000-0000-000000000000}"/>
  <bookViews>
    <workbookView xWindow="-120" yWindow="-120" windowWidth="38640" windowHeight="21120" xr2:uid="{40034FF0-78D9-4953-B383-D2FC78ACC1DB}"/>
  </bookViews>
  <sheets>
    <sheet name="345 Municipalidades con codigo" sheetId="1" r:id="rId1"/>
  </sheets>
  <definedNames>
    <definedName name="_xlnm._FilterDatabase" localSheetId="0" hidden="1">'345 Municipalidades con codigo'!$A$2:$N$365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65" i="1" l="1"/>
  <c r="K365" i="1" s="1"/>
  <c r="H365" i="1"/>
  <c r="K364" i="1"/>
  <c r="I364" i="1"/>
  <c r="H364" i="1"/>
  <c r="I363" i="1"/>
  <c r="K363" i="1" s="1"/>
  <c r="H363" i="1"/>
  <c r="K362" i="1"/>
  <c r="I362" i="1"/>
  <c r="H362" i="1"/>
  <c r="K361" i="1"/>
  <c r="I361" i="1"/>
  <c r="H361" i="1"/>
  <c r="K360" i="1"/>
  <c r="I360" i="1"/>
  <c r="H360" i="1"/>
  <c r="I359" i="1"/>
  <c r="K359" i="1" s="1"/>
  <c r="H359" i="1"/>
  <c r="K358" i="1"/>
  <c r="I358" i="1"/>
  <c r="H358" i="1"/>
  <c r="K357" i="1"/>
  <c r="I357" i="1"/>
  <c r="H357" i="1"/>
  <c r="K356" i="1"/>
  <c r="I356" i="1"/>
  <c r="H356" i="1"/>
  <c r="I355" i="1"/>
  <c r="K355" i="1" s="1"/>
  <c r="H355" i="1"/>
  <c r="K354" i="1"/>
  <c r="I354" i="1"/>
  <c r="H354" i="1"/>
  <c r="K353" i="1"/>
  <c r="I353" i="1"/>
  <c r="H353" i="1"/>
  <c r="K352" i="1"/>
  <c r="I352" i="1"/>
  <c r="H352" i="1"/>
  <c r="I351" i="1"/>
  <c r="K351" i="1" s="1"/>
  <c r="H351" i="1"/>
  <c r="K350" i="1"/>
  <c r="I350" i="1"/>
  <c r="H350" i="1"/>
  <c r="K349" i="1"/>
  <c r="I349" i="1"/>
  <c r="H349" i="1"/>
  <c r="K348" i="1"/>
  <c r="I348" i="1"/>
  <c r="K347" i="1"/>
  <c r="N347" i="1" s="1"/>
  <c r="I347" i="1"/>
  <c r="H347" i="1"/>
  <c r="I346" i="1"/>
  <c r="K346" i="1" s="1"/>
  <c r="N346" i="1" s="1"/>
  <c r="H346" i="1"/>
  <c r="I345" i="1"/>
  <c r="K345" i="1" s="1"/>
  <c r="N345" i="1" s="1"/>
  <c r="H345" i="1"/>
  <c r="I344" i="1"/>
  <c r="K344" i="1" s="1"/>
  <c r="N344" i="1" s="1"/>
  <c r="H344" i="1"/>
  <c r="I343" i="1"/>
  <c r="K343" i="1" s="1"/>
  <c r="N343" i="1" s="1"/>
  <c r="H343" i="1"/>
  <c r="I342" i="1"/>
  <c r="K342" i="1" s="1"/>
  <c r="N342" i="1" s="1"/>
  <c r="H342" i="1"/>
  <c r="I341" i="1"/>
  <c r="K341" i="1" s="1"/>
  <c r="N341" i="1" s="1"/>
  <c r="H341" i="1"/>
  <c r="I340" i="1"/>
  <c r="K340" i="1" s="1"/>
  <c r="N340" i="1" s="1"/>
  <c r="H340" i="1"/>
  <c r="I339" i="1"/>
  <c r="K339" i="1" s="1"/>
  <c r="N339" i="1" s="1"/>
  <c r="H339" i="1"/>
  <c r="K338" i="1"/>
  <c r="N338" i="1" s="1"/>
  <c r="I338" i="1"/>
  <c r="H338" i="1"/>
  <c r="I337" i="1"/>
  <c r="K337" i="1" s="1"/>
  <c r="N337" i="1" s="1"/>
  <c r="H337" i="1"/>
  <c r="I336" i="1"/>
  <c r="K336" i="1" s="1"/>
  <c r="N336" i="1" s="1"/>
  <c r="H336" i="1"/>
  <c r="I335" i="1"/>
  <c r="K335" i="1" s="1"/>
  <c r="N335" i="1" s="1"/>
  <c r="H335" i="1"/>
  <c r="I334" i="1"/>
  <c r="K334" i="1" s="1"/>
  <c r="N334" i="1" s="1"/>
  <c r="H334" i="1"/>
  <c r="I333" i="1"/>
  <c r="K333" i="1" s="1"/>
  <c r="N333" i="1" s="1"/>
  <c r="H333" i="1"/>
  <c r="I332" i="1"/>
  <c r="K332" i="1" s="1"/>
  <c r="N332" i="1" s="1"/>
  <c r="H332" i="1"/>
  <c r="I331" i="1"/>
  <c r="K331" i="1" s="1"/>
  <c r="N331" i="1" s="1"/>
  <c r="H331" i="1"/>
  <c r="I330" i="1"/>
  <c r="K330" i="1" s="1"/>
  <c r="N330" i="1" s="1"/>
  <c r="H330" i="1"/>
  <c r="K329" i="1"/>
  <c r="N329" i="1" s="1"/>
  <c r="I329" i="1"/>
  <c r="H329" i="1"/>
  <c r="I328" i="1"/>
  <c r="K328" i="1" s="1"/>
  <c r="N328" i="1" s="1"/>
  <c r="H328" i="1"/>
  <c r="I327" i="1"/>
  <c r="K327" i="1" s="1"/>
  <c r="N327" i="1" s="1"/>
  <c r="H327" i="1"/>
  <c r="I326" i="1"/>
  <c r="K326" i="1" s="1"/>
  <c r="H326" i="1"/>
  <c r="I325" i="1"/>
  <c r="K325" i="1" s="1"/>
  <c r="H325" i="1"/>
  <c r="I324" i="1"/>
  <c r="K324" i="1" s="1"/>
  <c r="N324" i="1" s="1"/>
  <c r="H324" i="1"/>
  <c r="I323" i="1"/>
  <c r="K323" i="1" s="1"/>
  <c r="N323" i="1" s="1"/>
  <c r="H323" i="1"/>
  <c r="I322" i="1"/>
  <c r="K322" i="1" s="1"/>
  <c r="N322" i="1" s="1"/>
  <c r="H322" i="1"/>
  <c r="I321" i="1"/>
  <c r="K321" i="1" s="1"/>
  <c r="N321" i="1" s="1"/>
  <c r="H321" i="1"/>
  <c r="I320" i="1"/>
  <c r="K320" i="1" s="1"/>
  <c r="N320" i="1" s="1"/>
  <c r="H320" i="1"/>
  <c r="I319" i="1"/>
  <c r="K319" i="1" s="1"/>
  <c r="N319" i="1" s="1"/>
  <c r="H319" i="1"/>
  <c r="I318" i="1"/>
  <c r="K318" i="1" s="1"/>
  <c r="N318" i="1" s="1"/>
  <c r="H318" i="1"/>
  <c r="I317" i="1"/>
  <c r="K317" i="1" s="1"/>
  <c r="N317" i="1" s="1"/>
  <c r="H317" i="1"/>
  <c r="N316" i="1"/>
  <c r="I316" i="1"/>
  <c r="K316" i="1" s="1"/>
  <c r="H316" i="1"/>
  <c r="I315" i="1"/>
  <c r="K315" i="1" s="1"/>
  <c r="N315" i="1" s="1"/>
  <c r="H315" i="1"/>
  <c r="I314" i="1"/>
  <c r="K314" i="1" s="1"/>
  <c r="N314" i="1" s="1"/>
  <c r="H314" i="1"/>
  <c r="I313" i="1"/>
  <c r="K313" i="1" s="1"/>
  <c r="N313" i="1" s="1"/>
  <c r="H313" i="1"/>
  <c r="I312" i="1"/>
  <c r="K312" i="1" s="1"/>
  <c r="N312" i="1" s="1"/>
  <c r="H312" i="1"/>
  <c r="I311" i="1"/>
  <c r="K311" i="1" s="1"/>
  <c r="N311" i="1" s="1"/>
  <c r="H311" i="1"/>
  <c r="I310" i="1"/>
  <c r="K310" i="1" s="1"/>
  <c r="N310" i="1" s="1"/>
  <c r="H310" i="1"/>
  <c r="I309" i="1"/>
  <c r="K309" i="1" s="1"/>
  <c r="N309" i="1" s="1"/>
  <c r="H309" i="1"/>
  <c r="I308" i="1"/>
  <c r="K308" i="1" s="1"/>
  <c r="N308" i="1" s="1"/>
  <c r="H308" i="1"/>
  <c r="I307" i="1"/>
  <c r="K307" i="1" s="1"/>
  <c r="N307" i="1" s="1"/>
  <c r="H307" i="1"/>
  <c r="I306" i="1"/>
  <c r="K306" i="1" s="1"/>
  <c r="N306" i="1" s="1"/>
  <c r="H306" i="1"/>
  <c r="I305" i="1"/>
  <c r="K305" i="1" s="1"/>
  <c r="N305" i="1" s="1"/>
  <c r="H305" i="1"/>
  <c r="N304" i="1"/>
  <c r="I304" i="1"/>
  <c r="K304" i="1" s="1"/>
  <c r="H304" i="1"/>
  <c r="I303" i="1"/>
  <c r="K303" i="1" s="1"/>
  <c r="N303" i="1" s="1"/>
  <c r="H303" i="1"/>
  <c r="I302" i="1"/>
  <c r="K302" i="1" s="1"/>
  <c r="N302" i="1" s="1"/>
  <c r="H302" i="1"/>
  <c r="I301" i="1"/>
  <c r="K301" i="1" s="1"/>
  <c r="N301" i="1" s="1"/>
  <c r="H301" i="1"/>
  <c r="I300" i="1"/>
  <c r="K300" i="1" s="1"/>
  <c r="N300" i="1" s="1"/>
  <c r="H300" i="1"/>
  <c r="I299" i="1"/>
  <c r="K299" i="1" s="1"/>
  <c r="N299" i="1" s="1"/>
  <c r="H299" i="1"/>
  <c r="N298" i="1"/>
  <c r="I298" i="1"/>
  <c r="K298" i="1" s="1"/>
  <c r="H298" i="1"/>
  <c r="I297" i="1"/>
  <c r="K297" i="1" s="1"/>
  <c r="N297" i="1" s="1"/>
  <c r="H297" i="1"/>
  <c r="I296" i="1"/>
  <c r="K296" i="1" s="1"/>
  <c r="N296" i="1" s="1"/>
  <c r="H296" i="1"/>
  <c r="I295" i="1"/>
  <c r="K295" i="1" s="1"/>
  <c r="N295" i="1" s="1"/>
  <c r="H295" i="1"/>
  <c r="I294" i="1"/>
  <c r="K294" i="1" s="1"/>
  <c r="N294" i="1" s="1"/>
  <c r="H294" i="1"/>
  <c r="I293" i="1"/>
  <c r="K293" i="1" s="1"/>
  <c r="N293" i="1" s="1"/>
  <c r="H293" i="1"/>
  <c r="I292" i="1"/>
  <c r="K292" i="1" s="1"/>
  <c r="N292" i="1" s="1"/>
  <c r="H292" i="1"/>
  <c r="I291" i="1"/>
  <c r="K291" i="1" s="1"/>
  <c r="N291" i="1" s="1"/>
  <c r="H291" i="1"/>
  <c r="I290" i="1"/>
  <c r="K290" i="1" s="1"/>
  <c r="N290" i="1" s="1"/>
  <c r="H290" i="1"/>
  <c r="I289" i="1"/>
  <c r="K289" i="1" s="1"/>
  <c r="N289" i="1" s="1"/>
  <c r="H289" i="1"/>
  <c r="I288" i="1"/>
  <c r="K288" i="1" s="1"/>
  <c r="N288" i="1" s="1"/>
  <c r="H288" i="1"/>
  <c r="I287" i="1"/>
  <c r="K287" i="1" s="1"/>
  <c r="N287" i="1" s="1"/>
  <c r="H287" i="1"/>
  <c r="I286" i="1"/>
  <c r="K286" i="1" s="1"/>
  <c r="N286" i="1" s="1"/>
  <c r="H286" i="1"/>
  <c r="I285" i="1"/>
  <c r="K285" i="1" s="1"/>
  <c r="N285" i="1" s="1"/>
  <c r="H285" i="1"/>
  <c r="I284" i="1"/>
  <c r="K284" i="1" s="1"/>
  <c r="N284" i="1" s="1"/>
  <c r="H284" i="1"/>
  <c r="I283" i="1"/>
  <c r="K283" i="1" s="1"/>
  <c r="N283" i="1" s="1"/>
  <c r="H283" i="1"/>
  <c r="I282" i="1"/>
  <c r="K282" i="1" s="1"/>
  <c r="N282" i="1" s="1"/>
  <c r="H282" i="1"/>
  <c r="I281" i="1"/>
  <c r="K281" i="1" s="1"/>
  <c r="N281" i="1" s="1"/>
  <c r="H281" i="1"/>
  <c r="N280" i="1"/>
  <c r="I280" i="1"/>
  <c r="K280" i="1" s="1"/>
  <c r="H280" i="1"/>
  <c r="I279" i="1"/>
  <c r="K279" i="1" s="1"/>
  <c r="N279" i="1" s="1"/>
  <c r="H279" i="1"/>
  <c r="I278" i="1"/>
  <c r="K278" i="1" s="1"/>
  <c r="N278" i="1" s="1"/>
  <c r="H278" i="1"/>
  <c r="N277" i="1"/>
  <c r="I277" i="1"/>
  <c r="K277" i="1" s="1"/>
  <c r="H277" i="1"/>
  <c r="N276" i="1"/>
  <c r="K276" i="1"/>
  <c r="I276" i="1"/>
  <c r="H276" i="1"/>
  <c r="I275" i="1"/>
  <c r="K275" i="1" s="1"/>
  <c r="N275" i="1" s="1"/>
  <c r="H275" i="1"/>
  <c r="N274" i="1"/>
  <c r="I274" i="1"/>
  <c r="K274" i="1" s="1"/>
  <c r="H274" i="1"/>
  <c r="N273" i="1"/>
  <c r="K273" i="1"/>
  <c r="I273" i="1"/>
  <c r="H273" i="1"/>
  <c r="I272" i="1"/>
  <c r="K272" i="1" s="1"/>
  <c r="N272" i="1" s="1"/>
  <c r="H272" i="1"/>
  <c r="I271" i="1"/>
  <c r="K271" i="1" s="1"/>
  <c r="N271" i="1" s="1"/>
  <c r="H271" i="1"/>
  <c r="N270" i="1"/>
  <c r="K270" i="1"/>
  <c r="I270" i="1"/>
  <c r="H270" i="1"/>
  <c r="I269" i="1"/>
  <c r="K269" i="1" s="1"/>
  <c r="N269" i="1" s="1"/>
  <c r="H269" i="1"/>
  <c r="I268" i="1"/>
  <c r="K268" i="1" s="1"/>
  <c r="N268" i="1" s="1"/>
  <c r="H268" i="1"/>
  <c r="N267" i="1"/>
  <c r="K267" i="1"/>
  <c r="I267" i="1"/>
  <c r="H267" i="1"/>
  <c r="I266" i="1"/>
  <c r="K266" i="1" s="1"/>
  <c r="N266" i="1" s="1"/>
  <c r="H266" i="1"/>
  <c r="N265" i="1"/>
  <c r="I265" i="1"/>
  <c r="K265" i="1" s="1"/>
  <c r="H265" i="1"/>
  <c r="N264" i="1"/>
  <c r="K264" i="1"/>
  <c r="I264" i="1"/>
  <c r="H264" i="1"/>
  <c r="I263" i="1"/>
  <c r="K263" i="1" s="1"/>
  <c r="N263" i="1" s="1"/>
  <c r="H263" i="1"/>
  <c r="N262" i="1"/>
  <c r="I262" i="1"/>
  <c r="K262" i="1" s="1"/>
  <c r="H262" i="1"/>
  <c r="N261" i="1"/>
  <c r="K261" i="1"/>
  <c r="I261" i="1"/>
  <c r="H261" i="1"/>
  <c r="I260" i="1"/>
  <c r="K260" i="1" s="1"/>
  <c r="N260" i="1" s="1"/>
  <c r="H260" i="1"/>
  <c r="I259" i="1"/>
  <c r="K259" i="1" s="1"/>
  <c r="N259" i="1" s="1"/>
  <c r="H259" i="1"/>
  <c r="K258" i="1"/>
  <c r="I258" i="1"/>
  <c r="H258" i="1"/>
  <c r="K257" i="1"/>
  <c r="N257" i="1" s="1"/>
  <c r="I257" i="1"/>
  <c r="H257" i="1"/>
  <c r="I256" i="1"/>
  <c r="K256" i="1" s="1"/>
  <c r="H256" i="1"/>
  <c r="I255" i="1"/>
  <c r="K255" i="1" s="1"/>
  <c r="N255" i="1" s="1"/>
  <c r="H255" i="1"/>
  <c r="I254" i="1"/>
  <c r="K254" i="1" s="1"/>
  <c r="N254" i="1" s="1"/>
  <c r="H254" i="1"/>
  <c r="K253" i="1"/>
  <c r="N253" i="1" s="1"/>
  <c r="I253" i="1"/>
  <c r="H253" i="1"/>
  <c r="I252" i="1"/>
  <c r="K252" i="1" s="1"/>
  <c r="N252" i="1" s="1"/>
  <c r="H252" i="1"/>
  <c r="I251" i="1"/>
  <c r="K251" i="1" s="1"/>
  <c r="H251" i="1"/>
  <c r="I250" i="1"/>
  <c r="K250" i="1" s="1"/>
  <c r="N250" i="1" s="1"/>
  <c r="H250" i="1"/>
  <c r="K249" i="1"/>
  <c r="N249" i="1" s="1"/>
  <c r="I249" i="1"/>
  <c r="H249" i="1"/>
  <c r="I248" i="1"/>
  <c r="K248" i="1" s="1"/>
  <c r="N248" i="1" s="1"/>
  <c r="H248" i="1"/>
  <c r="I247" i="1"/>
  <c r="K247" i="1" s="1"/>
  <c r="N247" i="1" s="1"/>
  <c r="H247" i="1"/>
  <c r="K246" i="1"/>
  <c r="N246" i="1" s="1"/>
  <c r="I246" i="1"/>
  <c r="H246" i="1"/>
  <c r="I245" i="1"/>
  <c r="K245" i="1" s="1"/>
  <c r="N245" i="1" s="1"/>
  <c r="H245" i="1"/>
  <c r="I244" i="1"/>
  <c r="K244" i="1" s="1"/>
  <c r="N244" i="1" s="1"/>
  <c r="H244" i="1"/>
  <c r="K243" i="1"/>
  <c r="N243" i="1" s="1"/>
  <c r="I243" i="1"/>
  <c r="H243" i="1"/>
  <c r="I242" i="1"/>
  <c r="K242" i="1" s="1"/>
  <c r="N242" i="1" s="1"/>
  <c r="H242" i="1"/>
  <c r="I241" i="1"/>
  <c r="K241" i="1" s="1"/>
  <c r="N241" i="1" s="1"/>
  <c r="H241" i="1"/>
  <c r="K240" i="1"/>
  <c r="N240" i="1" s="1"/>
  <c r="I240" i="1"/>
  <c r="H240" i="1"/>
  <c r="I239" i="1"/>
  <c r="K239" i="1" s="1"/>
  <c r="N239" i="1" s="1"/>
  <c r="H239" i="1"/>
  <c r="I238" i="1"/>
  <c r="K238" i="1" s="1"/>
  <c r="N238" i="1" s="1"/>
  <c r="H238" i="1"/>
  <c r="K237" i="1"/>
  <c r="N237" i="1" s="1"/>
  <c r="I237" i="1"/>
  <c r="H237" i="1"/>
  <c r="I236" i="1"/>
  <c r="K236" i="1" s="1"/>
  <c r="N236" i="1" s="1"/>
  <c r="H236" i="1"/>
  <c r="I235" i="1"/>
  <c r="K235" i="1" s="1"/>
  <c r="N235" i="1" s="1"/>
  <c r="H235" i="1"/>
  <c r="K234" i="1"/>
  <c r="N234" i="1" s="1"/>
  <c r="I234" i="1"/>
  <c r="H234" i="1"/>
  <c r="I233" i="1"/>
  <c r="K233" i="1" s="1"/>
  <c r="N233" i="1" s="1"/>
  <c r="H233" i="1"/>
  <c r="I232" i="1"/>
  <c r="K232" i="1" s="1"/>
  <c r="N232" i="1" s="1"/>
  <c r="H232" i="1"/>
  <c r="K231" i="1"/>
  <c r="N231" i="1" s="1"/>
  <c r="I231" i="1"/>
  <c r="H231" i="1"/>
  <c r="I230" i="1"/>
  <c r="K230" i="1" s="1"/>
  <c r="N230" i="1" s="1"/>
  <c r="H230" i="1"/>
  <c r="I229" i="1"/>
  <c r="K229" i="1" s="1"/>
  <c r="N229" i="1" s="1"/>
  <c r="H229" i="1"/>
  <c r="K228" i="1"/>
  <c r="N228" i="1" s="1"/>
  <c r="I228" i="1"/>
  <c r="H228" i="1"/>
  <c r="I227" i="1"/>
  <c r="K227" i="1" s="1"/>
  <c r="N227" i="1" s="1"/>
  <c r="H227" i="1"/>
  <c r="I226" i="1"/>
  <c r="K226" i="1" s="1"/>
  <c r="N226" i="1" s="1"/>
  <c r="H226" i="1"/>
  <c r="K225" i="1"/>
  <c r="N225" i="1" s="1"/>
  <c r="I225" i="1"/>
  <c r="H225" i="1"/>
  <c r="I224" i="1"/>
  <c r="K224" i="1" s="1"/>
  <c r="N224" i="1" s="1"/>
  <c r="H224" i="1"/>
  <c r="I223" i="1"/>
  <c r="K223" i="1" s="1"/>
  <c r="N223" i="1" s="1"/>
  <c r="H223" i="1"/>
  <c r="K222" i="1"/>
  <c r="N222" i="1" s="1"/>
  <c r="I222" i="1"/>
  <c r="H222" i="1"/>
  <c r="I221" i="1"/>
  <c r="K221" i="1" s="1"/>
  <c r="N221" i="1" s="1"/>
  <c r="H221" i="1"/>
  <c r="I220" i="1"/>
  <c r="K220" i="1" s="1"/>
  <c r="N220" i="1" s="1"/>
  <c r="H220" i="1"/>
  <c r="K219" i="1"/>
  <c r="N219" i="1" s="1"/>
  <c r="I219" i="1"/>
  <c r="H219" i="1"/>
  <c r="I218" i="1"/>
  <c r="K218" i="1" s="1"/>
  <c r="N218" i="1" s="1"/>
  <c r="H218" i="1"/>
  <c r="I217" i="1"/>
  <c r="K217" i="1" s="1"/>
  <c r="N217" i="1" s="1"/>
  <c r="H217" i="1"/>
  <c r="K216" i="1"/>
  <c r="N216" i="1" s="1"/>
  <c r="I216" i="1"/>
  <c r="H216" i="1"/>
  <c r="I215" i="1"/>
  <c r="K215" i="1" s="1"/>
  <c r="N215" i="1" s="1"/>
  <c r="H215" i="1"/>
  <c r="I214" i="1"/>
  <c r="K214" i="1" s="1"/>
  <c r="N214" i="1" s="1"/>
  <c r="H214" i="1"/>
  <c r="K213" i="1"/>
  <c r="N213" i="1" s="1"/>
  <c r="I213" i="1"/>
  <c r="H213" i="1"/>
  <c r="I212" i="1"/>
  <c r="K212" i="1" s="1"/>
  <c r="N212" i="1" s="1"/>
  <c r="H212" i="1"/>
  <c r="I211" i="1"/>
  <c r="K211" i="1" s="1"/>
  <c r="N211" i="1" s="1"/>
  <c r="H211" i="1"/>
  <c r="K210" i="1"/>
  <c r="N210" i="1" s="1"/>
  <c r="I210" i="1"/>
  <c r="H210" i="1"/>
  <c r="I209" i="1"/>
  <c r="K209" i="1" s="1"/>
  <c r="N209" i="1" s="1"/>
  <c r="H209" i="1"/>
  <c r="I208" i="1"/>
  <c r="K208" i="1" s="1"/>
  <c r="N208" i="1" s="1"/>
  <c r="H208" i="1"/>
  <c r="K207" i="1"/>
  <c r="N207" i="1" s="1"/>
  <c r="I207" i="1"/>
  <c r="H207" i="1"/>
  <c r="I206" i="1"/>
  <c r="K206" i="1" s="1"/>
  <c r="N206" i="1" s="1"/>
  <c r="H206" i="1"/>
  <c r="I205" i="1"/>
  <c r="K205" i="1" s="1"/>
  <c r="N205" i="1" s="1"/>
  <c r="H205" i="1"/>
  <c r="K204" i="1"/>
  <c r="N204" i="1" s="1"/>
  <c r="I204" i="1"/>
  <c r="H204" i="1"/>
  <c r="I203" i="1"/>
  <c r="K203" i="1" s="1"/>
  <c r="N203" i="1" s="1"/>
  <c r="H203" i="1"/>
  <c r="I202" i="1"/>
  <c r="K202" i="1" s="1"/>
  <c r="N202" i="1" s="1"/>
  <c r="H202" i="1"/>
  <c r="K201" i="1"/>
  <c r="N201" i="1" s="1"/>
  <c r="I201" i="1"/>
  <c r="H201" i="1"/>
  <c r="I200" i="1"/>
  <c r="K200" i="1" s="1"/>
  <c r="N200" i="1" s="1"/>
  <c r="H200" i="1"/>
  <c r="I199" i="1"/>
  <c r="K199" i="1" s="1"/>
  <c r="N199" i="1" s="1"/>
  <c r="H199" i="1"/>
  <c r="K198" i="1"/>
  <c r="N198" i="1" s="1"/>
  <c r="I198" i="1"/>
  <c r="H198" i="1"/>
  <c r="I197" i="1"/>
  <c r="K197" i="1" s="1"/>
  <c r="N197" i="1" s="1"/>
  <c r="H197" i="1"/>
  <c r="I196" i="1"/>
  <c r="K196" i="1" s="1"/>
  <c r="N196" i="1" s="1"/>
  <c r="H196" i="1"/>
  <c r="K195" i="1"/>
  <c r="N195" i="1" s="1"/>
  <c r="I195" i="1"/>
  <c r="H195" i="1"/>
  <c r="I194" i="1"/>
  <c r="K194" i="1" s="1"/>
  <c r="N194" i="1" s="1"/>
  <c r="H194" i="1"/>
  <c r="I193" i="1"/>
  <c r="K193" i="1" s="1"/>
  <c r="N193" i="1" s="1"/>
  <c r="H193" i="1"/>
  <c r="K192" i="1"/>
  <c r="N192" i="1" s="1"/>
  <c r="I192" i="1"/>
  <c r="H192" i="1"/>
  <c r="I191" i="1"/>
  <c r="K191" i="1" s="1"/>
  <c r="N191" i="1" s="1"/>
  <c r="H191" i="1"/>
  <c r="I190" i="1"/>
  <c r="K190" i="1" s="1"/>
  <c r="N190" i="1" s="1"/>
  <c r="H190" i="1"/>
  <c r="K189" i="1"/>
  <c r="N189" i="1" s="1"/>
  <c r="I189" i="1"/>
  <c r="H189" i="1"/>
  <c r="I188" i="1"/>
  <c r="K188" i="1" s="1"/>
  <c r="N188" i="1" s="1"/>
  <c r="H188" i="1"/>
  <c r="I187" i="1"/>
  <c r="K187" i="1" s="1"/>
  <c r="N187" i="1" s="1"/>
  <c r="H187" i="1"/>
  <c r="K186" i="1"/>
  <c r="N186" i="1" s="1"/>
  <c r="I186" i="1"/>
  <c r="H186" i="1"/>
  <c r="I185" i="1"/>
  <c r="K185" i="1" s="1"/>
  <c r="N185" i="1" s="1"/>
  <c r="H185" i="1"/>
  <c r="I184" i="1"/>
  <c r="K184" i="1" s="1"/>
  <c r="N184" i="1" s="1"/>
  <c r="H184" i="1"/>
  <c r="K183" i="1"/>
  <c r="N183" i="1" s="1"/>
  <c r="I183" i="1"/>
  <c r="H183" i="1"/>
  <c r="N182" i="1"/>
  <c r="K182" i="1"/>
  <c r="I182" i="1"/>
  <c r="H182" i="1"/>
  <c r="I181" i="1"/>
  <c r="K181" i="1" s="1"/>
  <c r="N181" i="1" s="1"/>
  <c r="H181" i="1"/>
  <c r="K180" i="1"/>
  <c r="N180" i="1" s="1"/>
  <c r="I180" i="1"/>
  <c r="H180" i="1"/>
  <c r="N179" i="1"/>
  <c r="K179" i="1"/>
  <c r="I179" i="1"/>
  <c r="H179" i="1"/>
  <c r="I178" i="1"/>
  <c r="K178" i="1" s="1"/>
  <c r="N178" i="1" s="1"/>
  <c r="H178" i="1"/>
  <c r="K177" i="1"/>
  <c r="N177" i="1" s="1"/>
  <c r="I177" i="1"/>
  <c r="H177" i="1"/>
  <c r="N176" i="1"/>
  <c r="K176" i="1"/>
  <c r="I176" i="1"/>
  <c r="H176" i="1"/>
  <c r="I175" i="1"/>
  <c r="K175" i="1" s="1"/>
  <c r="N175" i="1" s="1"/>
  <c r="H175" i="1"/>
  <c r="K174" i="1"/>
  <c r="N174" i="1" s="1"/>
  <c r="I174" i="1"/>
  <c r="H174" i="1"/>
  <c r="N173" i="1"/>
  <c r="K173" i="1"/>
  <c r="I173" i="1"/>
  <c r="H173" i="1"/>
  <c r="I172" i="1"/>
  <c r="K172" i="1" s="1"/>
  <c r="N172" i="1" s="1"/>
  <c r="H172" i="1"/>
  <c r="K171" i="1"/>
  <c r="N171" i="1" s="1"/>
  <c r="I171" i="1"/>
  <c r="H171" i="1"/>
  <c r="N170" i="1"/>
  <c r="K170" i="1"/>
  <c r="I170" i="1"/>
  <c r="H170" i="1"/>
  <c r="I169" i="1"/>
  <c r="K169" i="1" s="1"/>
  <c r="N169" i="1" s="1"/>
  <c r="H169" i="1"/>
  <c r="K168" i="1"/>
  <c r="N168" i="1" s="1"/>
  <c r="I168" i="1"/>
  <c r="H168" i="1"/>
  <c r="N167" i="1"/>
  <c r="K167" i="1"/>
  <c r="I167" i="1"/>
  <c r="H167" i="1"/>
  <c r="I166" i="1"/>
  <c r="K166" i="1" s="1"/>
  <c r="N166" i="1" s="1"/>
  <c r="H166" i="1"/>
  <c r="K165" i="1"/>
  <c r="N165" i="1" s="1"/>
  <c r="I165" i="1"/>
  <c r="H165" i="1"/>
  <c r="N164" i="1"/>
  <c r="K164" i="1"/>
  <c r="I164" i="1"/>
  <c r="H164" i="1"/>
  <c r="I163" i="1"/>
  <c r="K163" i="1" s="1"/>
  <c r="N163" i="1" s="1"/>
  <c r="H163" i="1"/>
  <c r="K162" i="1"/>
  <c r="N162" i="1" s="1"/>
  <c r="I162" i="1"/>
  <c r="H162" i="1"/>
  <c r="N161" i="1"/>
  <c r="K161" i="1"/>
  <c r="I161" i="1"/>
  <c r="H161" i="1"/>
  <c r="I160" i="1"/>
  <c r="K160" i="1" s="1"/>
  <c r="N160" i="1" s="1"/>
  <c r="H160" i="1"/>
  <c r="K159" i="1"/>
  <c r="N159" i="1" s="1"/>
  <c r="I159" i="1"/>
  <c r="H159" i="1"/>
  <c r="N158" i="1"/>
  <c r="K158" i="1"/>
  <c r="I158" i="1"/>
  <c r="H158" i="1"/>
  <c r="I157" i="1"/>
  <c r="K157" i="1" s="1"/>
  <c r="N157" i="1" s="1"/>
  <c r="H157" i="1"/>
  <c r="K156" i="1"/>
  <c r="N156" i="1" s="1"/>
  <c r="I156" i="1"/>
  <c r="H156" i="1"/>
  <c r="N155" i="1"/>
  <c r="K155" i="1"/>
  <c r="I155" i="1"/>
  <c r="H155" i="1"/>
  <c r="I154" i="1"/>
  <c r="K154" i="1" s="1"/>
  <c r="N154" i="1" s="1"/>
  <c r="H154" i="1"/>
  <c r="K153" i="1"/>
  <c r="N153" i="1" s="1"/>
  <c r="I153" i="1"/>
  <c r="H153" i="1"/>
  <c r="N152" i="1"/>
  <c r="K152" i="1"/>
  <c r="I152" i="1"/>
  <c r="H152" i="1"/>
  <c r="I151" i="1"/>
  <c r="K151" i="1" s="1"/>
  <c r="N151" i="1" s="1"/>
  <c r="H151" i="1"/>
  <c r="K150" i="1"/>
  <c r="N150" i="1" s="1"/>
  <c r="I150" i="1"/>
  <c r="H150" i="1"/>
  <c r="N149" i="1"/>
  <c r="K149" i="1"/>
  <c r="I149" i="1"/>
  <c r="H149" i="1"/>
  <c r="I148" i="1"/>
  <c r="K148" i="1" s="1"/>
  <c r="N148" i="1" s="1"/>
  <c r="H148" i="1"/>
  <c r="K147" i="1"/>
  <c r="N147" i="1" s="1"/>
  <c r="I147" i="1"/>
  <c r="H147" i="1"/>
  <c r="N146" i="1"/>
  <c r="K146" i="1"/>
  <c r="I146" i="1"/>
  <c r="H146" i="1"/>
  <c r="I145" i="1"/>
  <c r="K145" i="1" s="1"/>
  <c r="N145" i="1" s="1"/>
  <c r="H145" i="1"/>
  <c r="K144" i="1"/>
  <c r="N144" i="1" s="1"/>
  <c r="I144" i="1"/>
  <c r="H144" i="1"/>
  <c r="N143" i="1"/>
  <c r="K143" i="1"/>
  <c r="I143" i="1"/>
  <c r="H143" i="1"/>
  <c r="I142" i="1"/>
  <c r="K142" i="1" s="1"/>
  <c r="N142" i="1" s="1"/>
  <c r="H142" i="1"/>
  <c r="K141" i="1"/>
  <c r="N141" i="1" s="1"/>
  <c r="I141" i="1"/>
  <c r="H141" i="1"/>
  <c r="N140" i="1"/>
  <c r="K140" i="1"/>
  <c r="I140" i="1"/>
  <c r="H140" i="1"/>
  <c r="I139" i="1"/>
  <c r="K139" i="1" s="1"/>
  <c r="N139" i="1" s="1"/>
  <c r="H139" i="1"/>
  <c r="K138" i="1"/>
  <c r="N138" i="1" s="1"/>
  <c r="I138" i="1"/>
  <c r="H138" i="1"/>
  <c r="N137" i="1"/>
  <c r="K137" i="1"/>
  <c r="I137" i="1"/>
  <c r="H137" i="1"/>
  <c r="I136" i="1"/>
  <c r="K136" i="1" s="1"/>
  <c r="N136" i="1" s="1"/>
  <c r="H136" i="1"/>
  <c r="K135" i="1"/>
  <c r="N135" i="1" s="1"/>
  <c r="I135" i="1"/>
  <c r="H135" i="1"/>
  <c r="N134" i="1"/>
  <c r="K134" i="1"/>
  <c r="I134" i="1"/>
  <c r="H134" i="1"/>
  <c r="I133" i="1"/>
  <c r="K133" i="1" s="1"/>
  <c r="N133" i="1" s="1"/>
  <c r="H133" i="1"/>
  <c r="K132" i="1"/>
  <c r="N132" i="1" s="1"/>
  <c r="I132" i="1"/>
  <c r="H132" i="1"/>
  <c r="N131" i="1"/>
  <c r="K131" i="1"/>
  <c r="I131" i="1"/>
  <c r="H131" i="1"/>
  <c r="I130" i="1"/>
  <c r="K130" i="1" s="1"/>
  <c r="N130" i="1" s="1"/>
  <c r="H130" i="1"/>
  <c r="K129" i="1"/>
  <c r="N129" i="1" s="1"/>
  <c r="I129" i="1"/>
  <c r="H129" i="1"/>
  <c r="N128" i="1"/>
  <c r="K128" i="1"/>
  <c r="I128" i="1"/>
  <c r="H128" i="1"/>
  <c r="I127" i="1"/>
  <c r="K127" i="1" s="1"/>
  <c r="N127" i="1" s="1"/>
  <c r="H127" i="1"/>
  <c r="K126" i="1"/>
  <c r="N126" i="1" s="1"/>
  <c r="I126" i="1"/>
  <c r="H126" i="1"/>
  <c r="N125" i="1"/>
  <c r="K125" i="1"/>
  <c r="I125" i="1"/>
  <c r="H125" i="1"/>
  <c r="I124" i="1"/>
  <c r="K124" i="1" s="1"/>
  <c r="N124" i="1" s="1"/>
  <c r="H124" i="1"/>
  <c r="K123" i="1"/>
  <c r="N123" i="1" s="1"/>
  <c r="I123" i="1"/>
  <c r="H123" i="1"/>
  <c r="N122" i="1"/>
  <c r="K122" i="1"/>
  <c r="I122" i="1"/>
  <c r="H122" i="1"/>
  <c r="I121" i="1"/>
  <c r="K121" i="1" s="1"/>
  <c r="N121" i="1" s="1"/>
  <c r="H121" i="1"/>
  <c r="K120" i="1"/>
  <c r="N120" i="1" s="1"/>
  <c r="I120" i="1"/>
  <c r="H120" i="1"/>
  <c r="N119" i="1"/>
  <c r="K119" i="1"/>
  <c r="I119" i="1"/>
  <c r="H119" i="1"/>
  <c r="I118" i="1"/>
  <c r="K118" i="1" s="1"/>
  <c r="N118" i="1" s="1"/>
  <c r="H118" i="1"/>
  <c r="K117" i="1"/>
  <c r="N117" i="1" s="1"/>
  <c r="I117" i="1"/>
  <c r="H117" i="1"/>
  <c r="N116" i="1"/>
  <c r="K116" i="1"/>
  <c r="I116" i="1"/>
  <c r="H116" i="1"/>
  <c r="I115" i="1"/>
  <c r="K115" i="1" s="1"/>
  <c r="N115" i="1" s="1"/>
  <c r="H115" i="1"/>
  <c r="K114" i="1"/>
  <c r="N114" i="1" s="1"/>
  <c r="I114" i="1"/>
  <c r="H114" i="1"/>
  <c r="N113" i="1"/>
  <c r="K113" i="1"/>
  <c r="I113" i="1"/>
  <c r="H113" i="1"/>
  <c r="I112" i="1"/>
  <c r="K112" i="1" s="1"/>
  <c r="N112" i="1" s="1"/>
  <c r="H112" i="1"/>
  <c r="K111" i="1"/>
  <c r="N111" i="1" s="1"/>
  <c r="I111" i="1"/>
  <c r="H111" i="1"/>
  <c r="N110" i="1"/>
  <c r="K110" i="1"/>
  <c r="I110" i="1"/>
  <c r="H110" i="1"/>
  <c r="I109" i="1"/>
  <c r="K109" i="1" s="1"/>
  <c r="N109" i="1" s="1"/>
  <c r="H109" i="1"/>
  <c r="K108" i="1"/>
  <c r="N108" i="1" s="1"/>
  <c r="I108" i="1"/>
  <c r="H108" i="1"/>
  <c r="N107" i="1"/>
  <c r="K107" i="1"/>
  <c r="I107" i="1"/>
  <c r="H107" i="1"/>
  <c r="I106" i="1"/>
  <c r="K106" i="1" s="1"/>
  <c r="N106" i="1" s="1"/>
  <c r="H106" i="1"/>
  <c r="K105" i="1"/>
  <c r="N105" i="1" s="1"/>
  <c r="I105" i="1"/>
  <c r="H105" i="1"/>
  <c r="N104" i="1"/>
  <c r="K104" i="1"/>
  <c r="I104" i="1"/>
  <c r="H104" i="1"/>
  <c r="I103" i="1"/>
  <c r="K103" i="1" s="1"/>
  <c r="N103" i="1" s="1"/>
  <c r="H103" i="1"/>
  <c r="K102" i="1"/>
  <c r="N102" i="1" s="1"/>
  <c r="I102" i="1"/>
  <c r="H102" i="1"/>
  <c r="N101" i="1"/>
  <c r="K101" i="1"/>
  <c r="I101" i="1"/>
  <c r="H101" i="1"/>
  <c r="I100" i="1"/>
  <c r="K100" i="1" s="1"/>
  <c r="N100" i="1" s="1"/>
  <c r="H100" i="1"/>
  <c r="K99" i="1"/>
  <c r="N99" i="1" s="1"/>
  <c r="I99" i="1"/>
  <c r="H99" i="1"/>
  <c r="N98" i="1"/>
  <c r="K98" i="1"/>
  <c r="I98" i="1"/>
  <c r="H98" i="1"/>
  <c r="I97" i="1"/>
  <c r="K97" i="1" s="1"/>
  <c r="N97" i="1" s="1"/>
  <c r="H97" i="1"/>
  <c r="K96" i="1"/>
  <c r="N96" i="1" s="1"/>
  <c r="I96" i="1"/>
  <c r="H96" i="1"/>
  <c r="N95" i="1"/>
  <c r="K95" i="1"/>
  <c r="I95" i="1"/>
  <c r="H95" i="1"/>
  <c r="I94" i="1"/>
  <c r="K94" i="1" s="1"/>
  <c r="N94" i="1" s="1"/>
  <c r="H94" i="1"/>
  <c r="K93" i="1"/>
  <c r="N93" i="1" s="1"/>
  <c r="I93" i="1"/>
  <c r="H93" i="1"/>
  <c r="N92" i="1"/>
  <c r="K92" i="1"/>
  <c r="I92" i="1"/>
  <c r="H92" i="1"/>
  <c r="I91" i="1"/>
  <c r="K91" i="1" s="1"/>
  <c r="N91" i="1" s="1"/>
  <c r="H91" i="1"/>
  <c r="K90" i="1"/>
  <c r="N90" i="1" s="1"/>
  <c r="I90" i="1"/>
  <c r="H90" i="1"/>
  <c r="N89" i="1"/>
  <c r="K89" i="1"/>
  <c r="I89" i="1"/>
  <c r="H89" i="1"/>
  <c r="I88" i="1"/>
  <c r="K88" i="1" s="1"/>
  <c r="N88" i="1" s="1"/>
  <c r="H88" i="1"/>
  <c r="K87" i="1"/>
  <c r="N87" i="1" s="1"/>
  <c r="I87" i="1"/>
  <c r="H87" i="1"/>
  <c r="N86" i="1"/>
  <c r="K86" i="1"/>
  <c r="I86" i="1"/>
  <c r="H86" i="1"/>
  <c r="I85" i="1"/>
  <c r="K85" i="1" s="1"/>
  <c r="N85" i="1" s="1"/>
  <c r="H85" i="1"/>
  <c r="K84" i="1"/>
  <c r="N84" i="1" s="1"/>
  <c r="I84" i="1"/>
  <c r="H84" i="1"/>
  <c r="N83" i="1"/>
  <c r="K83" i="1"/>
  <c r="I83" i="1"/>
  <c r="H83" i="1"/>
  <c r="I82" i="1"/>
  <c r="K82" i="1" s="1"/>
  <c r="N82" i="1" s="1"/>
  <c r="H82" i="1"/>
  <c r="K81" i="1"/>
  <c r="N81" i="1" s="1"/>
  <c r="I81" i="1"/>
  <c r="H81" i="1"/>
  <c r="N80" i="1"/>
  <c r="K80" i="1"/>
  <c r="I80" i="1"/>
  <c r="H80" i="1"/>
  <c r="I79" i="1"/>
  <c r="K79" i="1" s="1"/>
  <c r="N79" i="1" s="1"/>
  <c r="H79" i="1"/>
  <c r="K78" i="1"/>
  <c r="N78" i="1" s="1"/>
  <c r="I78" i="1"/>
  <c r="H78" i="1"/>
  <c r="N77" i="1"/>
  <c r="K77" i="1"/>
  <c r="I77" i="1"/>
  <c r="H77" i="1"/>
  <c r="I76" i="1"/>
  <c r="K76" i="1" s="1"/>
  <c r="N76" i="1" s="1"/>
  <c r="H76" i="1"/>
  <c r="N75" i="1"/>
  <c r="K75" i="1"/>
  <c r="I75" i="1"/>
  <c r="H75" i="1"/>
  <c r="N74" i="1"/>
  <c r="K74" i="1"/>
  <c r="I74" i="1"/>
  <c r="H74" i="1"/>
  <c r="I73" i="1"/>
  <c r="K73" i="1" s="1"/>
  <c r="N73" i="1" s="1"/>
  <c r="H73" i="1"/>
  <c r="K72" i="1"/>
  <c r="N72" i="1" s="1"/>
  <c r="I72" i="1"/>
  <c r="H72" i="1"/>
  <c r="N71" i="1"/>
  <c r="K71" i="1"/>
  <c r="I71" i="1"/>
  <c r="H71" i="1"/>
  <c r="I70" i="1"/>
  <c r="K70" i="1" s="1"/>
  <c r="N70" i="1" s="1"/>
  <c r="H70" i="1"/>
  <c r="K69" i="1"/>
  <c r="N69" i="1" s="1"/>
  <c r="I69" i="1"/>
  <c r="H69" i="1"/>
  <c r="N68" i="1"/>
  <c r="K68" i="1"/>
  <c r="I68" i="1"/>
  <c r="H68" i="1"/>
  <c r="I67" i="1"/>
  <c r="K67" i="1" s="1"/>
  <c r="N67" i="1" s="1"/>
  <c r="H67" i="1"/>
  <c r="K66" i="1"/>
  <c r="N66" i="1" s="1"/>
  <c r="I66" i="1"/>
  <c r="H66" i="1"/>
  <c r="N65" i="1"/>
  <c r="K65" i="1"/>
  <c r="I65" i="1"/>
  <c r="H65" i="1"/>
  <c r="I64" i="1"/>
  <c r="K64" i="1" s="1"/>
  <c r="N64" i="1" s="1"/>
  <c r="H64" i="1"/>
  <c r="K63" i="1"/>
  <c r="N63" i="1" s="1"/>
  <c r="I63" i="1"/>
  <c r="H63" i="1"/>
  <c r="N62" i="1"/>
  <c r="K62" i="1"/>
  <c r="I62" i="1"/>
  <c r="H62" i="1"/>
  <c r="I61" i="1"/>
  <c r="K61" i="1" s="1"/>
  <c r="N61" i="1" s="1"/>
  <c r="H61" i="1"/>
  <c r="K60" i="1"/>
  <c r="N60" i="1" s="1"/>
  <c r="I60" i="1"/>
  <c r="H60" i="1"/>
  <c r="N59" i="1"/>
  <c r="K59" i="1"/>
  <c r="I59" i="1"/>
  <c r="H59" i="1"/>
  <c r="I58" i="1"/>
  <c r="K58" i="1" s="1"/>
  <c r="N58" i="1" s="1"/>
  <c r="H58" i="1"/>
  <c r="N57" i="1"/>
  <c r="K57" i="1"/>
  <c r="I57" i="1"/>
  <c r="H57" i="1"/>
  <c r="N56" i="1"/>
  <c r="K56" i="1"/>
  <c r="I56" i="1"/>
  <c r="H56" i="1"/>
  <c r="I55" i="1"/>
  <c r="K55" i="1" s="1"/>
  <c r="N55" i="1" s="1"/>
  <c r="H55" i="1"/>
  <c r="K54" i="1"/>
  <c r="N54" i="1" s="1"/>
  <c r="I54" i="1"/>
  <c r="H54" i="1"/>
  <c r="N53" i="1"/>
  <c r="K53" i="1"/>
  <c r="I53" i="1"/>
  <c r="H53" i="1"/>
  <c r="I52" i="1"/>
  <c r="K52" i="1" s="1"/>
  <c r="N52" i="1" s="1"/>
  <c r="H52" i="1"/>
  <c r="K51" i="1"/>
  <c r="N51" i="1" s="1"/>
  <c r="I51" i="1"/>
  <c r="H51" i="1"/>
  <c r="N50" i="1"/>
  <c r="K50" i="1"/>
  <c r="I50" i="1"/>
  <c r="H50" i="1"/>
  <c r="I49" i="1"/>
  <c r="K49" i="1" s="1"/>
  <c r="N49" i="1" s="1"/>
  <c r="H49" i="1"/>
  <c r="K48" i="1"/>
  <c r="N48" i="1" s="1"/>
  <c r="I48" i="1"/>
  <c r="H48" i="1"/>
  <c r="N47" i="1"/>
  <c r="K47" i="1"/>
  <c r="I47" i="1"/>
  <c r="H47" i="1"/>
  <c r="I46" i="1"/>
  <c r="K46" i="1" s="1"/>
  <c r="N46" i="1" s="1"/>
  <c r="H46" i="1"/>
  <c r="K45" i="1"/>
  <c r="N45" i="1" s="1"/>
  <c r="I45" i="1"/>
  <c r="H45" i="1"/>
  <c r="N44" i="1"/>
  <c r="K44" i="1"/>
  <c r="I44" i="1"/>
  <c r="H44" i="1"/>
  <c r="I43" i="1"/>
  <c r="K43" i="1" s="1"/>
  <c r="N43" i="1" s="1"/>
  <c r="H43" i="1"/>
  <c r="K42" i="1"/>
  <c r="N42" i="1" s="1"/>
  <c r="I42" i="1"/>
  <c r="H42" i="1"/>
  <c r="N41" i="1"/>
  <c r="K41" i="1"/>
  <c r="I41" i="1"/>
  <c r="H41" i="1"/>
  <c r="I40" i="1"/>
  <c r="K40" i="1" s="1"/>
  <c r="N40" i="1" s="1"/>
  <c r="H40" i="1"/>
  <c r="N39" i="1"/>
  <c r="K39" i="1"/>
  <c r="I39" i="1"/>
  <c r="H39" i="1"/>
  <c r="N38" i="1"/>
  <c r="K38" i="1"/>
  <c r="I38" i="1"/>
  <c r="H38" i="1"/>
  <c r="I37" i="1"/>
  <c r="K37" i="1" s="1"/>
  <c r="N37" i="1" s="1"/>
  <c r="H37" i="1"/>
  <c r="K36" i="1"/>
  <c r="N36" i="1" s="1"/>
  <c r="I36" i="1"/>
  <c r="H36" i="1"/>
  <c r="N35" i="1"/>
  <c r="K35" i="1"/>
  <c r="I35" i="1"/>
  <c r="H35" i="1"/>
  <c r="I34" i="1"/>
  <c r="K34" i="1" s="1"/>
  <c r="N34" i="1" s="1"/>
  <c r="H34" i="1"/>
  <c r="K33" i="1"/>
  <c r="N33" i="1" s="1"/>
  <c r="I33" i="1"/>
  <c r="H33" i="1"/>
  <c r="N32" i="1"/>
  <c r="K32" i="1"/>
  <c r="I32" i="1"/>
  <c r="H32" i="1"/>
  <c r="I31" i="1"/>
  <c r="K31" i="1" s="1"/>
  <c r="N31" i="1" s="1"/>
  <c r="H31" i="1"/>
  <c r="K30" i="1"/>
  <c r="N30" i="1" s="1"/>
  <c r="I30" i="1"/>
  <c r="H30" i="1"/>
  <c r="N29" i="1"/>
  <c r="K29" i="1"/>
  <c r="I29" i="1"/>
  <c r="H29" i="1"/>
  <c r="I28" i="1"/>
  <c r="K28" i="1" s="1"/>
  <c r="N28" i="1" s="1"/>
  <c r="H28" i="1"/>
  <c r="K27" i="1"/>
  <c r="N27" i="1" s="1"/>
  <c r="I27" i="1"/>
  <c r="H27" i="1"/>
  <c r="I26" i="1"/>
  <c r="K26" i="1" s="1"/>
  <c r="N26" i="1" s="1"/>
  <c r="H26" i="1"/>
  <c r="I25" i="1"/>
  <c r="K25" i="1" s="1"/>
  <c r="N25" i="1" s="1"/>
  <c r="H25" i="1"/>
  <c r="N24" i="1"/>
  <c r="K24" i="1"/>
  <c r="I24" i="1"/>
  <c r="H24" i="1"/>
  <c r="N23" i="1"/>
  <c r="K23" i="1"/>
  <c r="I23" i="1"/>
  <c r="H23" i="1"/>
  <c r="I22" i="1"/>
  <c r="K22" i="1" s="1"/>
  <c r="N22" i="1" s="1"/>
  <c r="H22" i="1"/>
  <c r="K21" i="1"/>
  <c r="N21" i="1" s="1"/>
  <c r="I21" i="1"/>
  <c r="H21" i="1"/>
  <c r="N20" i="1"/>
  <c r="K20" i="1"/>
  <c r="I20" i="1"/>
  <c r="H20" i="1"/>
  <c r="I19" i="1"/>
  <c r="K19" i="1" s="1"/>
  <c r="N19" i="1" s="1"/>
  <c r="H19" i="1"/>
  <c r="K18" i="1"/>
  <c r="N18" i="1" s="1"/>
  <c r="I18" i="1"/>
  <c r="H18" i="1"/>
  <c r="N17" i="1"/>
  <c r="K17" i="1"/>
  <c r="I17" i="1"/>
  <c r="H17" i="1"/>
  <c r="I16" i="1"/>
  <c r="K16" i="1" s="1"/>
  <c r="N16" i="1" s="1"/>
  <c r="H16" i="1"/>
  <c r="I15" i="1"/>
  <c r="K15" i="1" s="1"/>
  <c r="H15" i="1"/>
  <c r="K14" i="1"/>
  <c r="N14" i="1" s="1"/>
  <c r="I14" i="1"/>
  <c r="H14" i="1"/>
  <c r="I13" i="1"/>
  <c r="K13" i="1" s="1"/>
  <c r="N13" i="1" s="1"/>
  <c r="H13" i="1"/>
  <c r="I12" i="1"/>
  <c r="K12" i="1" s="1"/>
  <c r="N12" i="1" s="1"/>
  <c r="H12" i="1"/>
  <c r="K11" i="1"/>
  <c r="N11" i="1" s="1"/>
  <c r="I11" i="1"/>
  <c r="H11" i="1"/>
  <c r="I10" i="1"/>
  <c r="K10" i="1" s="1"/>
  <c r="N10" i="1" s="1"/>
  <c r="H10" i="1"/>
  <c r="N9" i="1"/>
  <c r="K9" i="1"/>
  <c r="I9" i="1"/>
  <c r="H9" i="1"/>
  <c r="N8" i="1"/>
  <c r="K8" i="1"/>
  <c r="I8" i="1"/>
  <c r="H8" i="1"/>
  <c r="I7" i="1"/>
  <c r="K7" i="1" s="1"/>
  <c r="N7" i="1" s="1"/>
  <c r="H7" i="1"/>
  <c r="I6" i="1"/>
  <c r="K6" i="1" s="1"/>
  <c r="N6" i="1" s="1"/>
  <c r="H6" i="1"/>
  <c r="N5" i="1"/>
  <c r="K5" i="1"/>
  <c r="I5" i="1"/>
  <c r="H5" i="1"/>
  <c r="I4" i="1"/>
  <c r="K4" i="1" s="1"/>
  <c r="N4" i="1" s="1"/>
  <c r="H4" i="1"/>
  <c r="I3" i="1"/>
  <c r="K3" i="1" s="1"/>
  <c r="N3" i="1" s="1"/>
  <c r="H3" i="1"/>
</calcChain>
</file>

<file path=xl/sharedStrings.xml><?xml version="1.0" encoding="utf-8"?>
<sst xmlns="http://schemas.openxmlformats.org/spreadsheetml/2006/main" count="726" uniqueCount="375">
  <si>
    <t>Región</t>
  </si>
  <si>
    <t>Comuna</t>
  </si>
  <si>
    <t>Codigo</t>
  </si>
  <si>
    <t>Población censada</t>
  </si>
  <si>
    <t>0-14</t>
  </si>
  <si>
    <t>65 años o más</t>
  </si>
  <si>
    <t>Indice Envejecimiento</t>
  </si>
  <si>
    <t>Tasa Envejecimiento x 100mil</t>
  </si>
  <si>
    <t>Grupo</t>
  </si>
  <si>
    <t>Tasa Enveje</t>
  </si>
  <si>
    <t>IDH</t>
  </si>
  <si>
    <t>ICFSR</t>
  </si>
  <si>
    <t>IRAPE</t>
  </si>
  <si>
    <t>Tarapacá</t>
  </si>
  <si>
    <t>Iquique</t>
  </si>
  <si>
    <t>Alto Hospicio</t>
  </si>
  <si>
    <t>Índice de Desarrollo Humano (IDH)</t>
  </si>
  <si>
    <t>Pozo Almonte</t>
  </si>
  <si>
    <t>Índice de Riesgo Ajustado Por Envejecimiento (IRAPE)</t>
  </si>
  <si>
    <t>Camiña</t>
  </si>
  <si>
    <t>Colchane</t>
  </si>
  <si>
    <t>Huara</t>
  </si>
  <si>
    <t>Pica</t>
  </si>
  <si>
    <t>Antofagasta</t>
  </si>
  <si>
    <t>Mejillones</t>
  </si>
  <si>
    <t>Sierra Gorda</t>
  </si>
  <si>
    <t>Taltal</t>
  </si>
  <si>
    <t>Calama</t>
  </si>
  <si>
    <t>Ollagüe</t>
  </si>
  <si>
    <t>San Pedro de Atacama</t>
  </si>
  <si>
    <t>Tocopilla</t>
  </si>
  <si>
    <t>María Elena</t>
  </si>
  <si>
    <t>Atacama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</si>
  <si>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</si>
  <si>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</si>
  <si>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</si>
  <si>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</si>
  <si>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</si>
  <si>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</si>
  <si>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</si>
  <si>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</si>
  <si>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</si>
  <si>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Coquimbo</t>
  </si>
  <si>
    <t>La Serena</t>
  </si>
  <si>
    <t>Andacollo</t>
  </si>
  <si>
    <t>La Higuera</t>
  </si>
  <si>
    <t>Paihuano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</si>
  <si>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</si>
  <si>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</si>
  <si>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</si>
  <si>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</si>
  <si>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</si>
  <si>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</si>
  <si>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</si>
  <si>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</si>
  <si>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</si>
  <si>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</si>
  <si>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</si>
  <si>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</si>
  <si>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</si>
  <si>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</si>
  <si>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Puchuncavi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</si>
  <si>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</si>
  <si>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</si>
  <si>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</si>
  <si>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</si>
  <si>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</si>
  <si>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</si>
  <si>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</si>
  <si>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</si>
  <si>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</si>
  <si>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</si>
  <si>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</si>
  <si>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</si>
  <si>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</si>
  <si>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</si>
  <si>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</si>
  <si>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</si>
  <si>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</si>
  <si>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</si>
  <si>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</si>
  <si>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</si>
  <si>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</si>
  <si>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</si>
  <si>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</si>
  <si>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</si>
  <si>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</si>
  <si>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</si>
  <si>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</si>
  <si>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</si>
  <si>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</si>
  <si>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</si>
  <si>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</si>
  <si>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</si>
  <si>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</si>
  <si>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Libertador General Bernardo O'Higgins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</si>
  <si>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</si>
  <si>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</si>
  <si>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</si>
  <si>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</si>
  <si>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</si>
  <si>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</si>
  <si>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</si>
  <si>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</si>
  <si>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</si>
  <si>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</si>
  <si>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</si>
  <si>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</si>
  <si>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</si>
  <si>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</si>
  <si>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</si>
  <si>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</si>
  <si>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</si>
  <si>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</si>
  <si>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</si>
  <si>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</si>
  <si>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</si>
  <si>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</si>
  <si>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</si>
  <si>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</si>
  <si>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</si>
  <si>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</si>
  <si>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</si>
  <si>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</si>
  <si>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</si>
  <si>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</si>
  <si>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</si>
  <si>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</si>
  <si>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</si>
  <si>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Maule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</si>
  <si>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</si>
  <si>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</si>
  <si>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</si>
  <si>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</si>
  <si>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</si>
  <si>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</si>
  <si>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</si>
  <si>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</si>
  <si>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</si>
  <si>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</si>
  <si>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</si>
  <si>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</si>
  <si>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</si>
  <si>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</si>
  <si>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</si>
  <si>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</si>
  <si>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</si>
  <si>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</si>
  <si>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</si>
  <si>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</si>
  <si>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</si>
  <si>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</si>
  <si>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</si>
  <si>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</si>
  <si>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</si>
  <si>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</si>
  <si>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</si>
  <si>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</si>
  <si>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</si>
  <si>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Biobío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</si>
  <si>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</si>
  <si>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</si>
  <si>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</si>
  <si>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</si>
  <si>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</si>
  <si>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</si>
  <si>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</si>
  <si>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</si>
  <si>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</si>
  <si>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</si>
  <si>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</si>
  <si>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</si>
  <si>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</si>
  <si>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</si>
  <si>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</si>
  <si>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</si>
  <si>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</si>
  <si>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</si>
  <si>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</si>
  <si>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</si>
  <si>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</si>
  <si>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</si>
  <si>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</si>
  <si>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</si>
  <si>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</si>
  <si>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</si>
  <si>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</si>
  <si>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</si>
  <si>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</si>
  <si>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</si>
  <si>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</si>
  <si>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</si>
  <si>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</si>
  <si>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La Araucanía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</si>
  <si>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</si>
  <si>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</si>
  <si>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</si>
  <si>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</si>
  <si>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</si>
  <si>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</si>
  <si>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</si>
  <si>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</si>
  <si>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</si>
  <si>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</si>
  <si>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</si>
  <si>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</si>
  <si>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</si>
  <si>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</si>
  <si>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</si>
  <si>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</si>
  <si>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</si>
  <si>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</si>
  <si>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</si>
  <si>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</si>
  <si>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</si>
  <si>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</si>
  <si>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</si>
  <si>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</si>
  <si>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</si>
  <si>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</si>
  <si>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</si>
  <si>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</si>
  <si>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</si>
  <si>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</si>
  <si>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</si>
  <si>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</si>
  <si>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Los Lagos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</si>
  <si>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</si>
  <si>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</si>
  <si>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</si>
  <si>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</si>
  <si>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</si>
  <si>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</si>
  <si>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</si>
  <si>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</si>
  <si>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</si>
  <si>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</si>
  <si>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</si>
  <si>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</si>
  <si>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</si>
  <si>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</si>
  <si>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</si>
  <si>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</si>
  <si>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</si>
  <si>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</si>
  <si>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</si>
  <si>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</si>
  <si>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</si>
  <si>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</si>
  <si>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</si>
  <si>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</si>
  <si>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</si>
  <si>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</si>
  <si>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</si>
  <si>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</si>
  <si>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</si>
  <si>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</si>
  <si>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Aysén del General Carlos Ibáñez del Campo</t>
  </si>
  <si>
    <t>Coyhaique</t>
  </si>
  <si>
    <t>Lago Verde</t>
  </si>
  <si>
    <t>Aysén</t>
  </si>
  <si>
    <t>Cisnes</t>
  </si>
  <si>
    <t>Guaitecas</t>
  </si>
  <si>
    <t>Cochrane</t>
  </si>
  <si>
    <t>O'Higgins</t>
  </si>
  <si>
    <t>Tortel</t>
  </si>
  <si>
    <t>Chile Chico</t>
  </si>
  <si>
    <t>Río Ibáñez</t>
  </si>
  <si>
    <t>Magallanes y de la Antártica Chilena</t>
  </si>
  <si>
    <t>Punta Arenas</t>
  </si>
  <si>
    <t>Laguna Blanca</t>
  </si>
  <si>
    <t>Río Verde</t>
  </si>
  <si>
    <t>San Gregorio</t>
  </si>
  <si>
    <t>Cabo de Hornos</t>
  </si>
  <si>
    <t>Porvenir</t>
  </si>
  <si>
    <t>Primavera</t>
  </si>
  <si>
    <t>Timaukel</t>
  </si>
  <si>
    <t>Natales</t>
  </si>
  <si>
    <t>Torres del Paine</t>
  </si>
  <si>
    <t>Metropolitana de Santiago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</si>
  <si>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</si>
  <si>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</si>
  <si>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</si>
  <si>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</si>
  <si>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</si>
  <si>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</si>
  <si>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</si>
  <si>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</si>
  <si>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</si>
  <si>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</si>
  <si>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</si>
  <si>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</si>
  <si>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</si>
  <si>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</si>
  <si>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</si>
  <si>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</si>
  <si>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</si>
  <si>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</si>
  <si>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</si>
  <si>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</si>
  <si>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</si>
  <si>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</si>
  <si>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</si>
  <si>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</si>
  <si>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</si>
  <si>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</si>
  <si>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</si>
  <si>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</si>
  <si>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</si>
  <si>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</si>
  <si>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</si>
  <si>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</si>
  <si>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</si>
  <si>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</si>
  <si>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</si>
  <si>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</si>
  <si>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</si>
  <si>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</si>
  <si>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</si>
  <si>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</si>
  <si>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</si>
  <si>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</si>
  <si>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</si>
  <si>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</si>
  <si>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</si>
  <si>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</si>
  <si>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</si>
  <si>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</si>
  <si>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</si>
  <si>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</si>
  <si>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</si>
  <si>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</si>
  <si>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Los Ríos</t>
  </si>
  <si>
    <t>Valdivia</t>
  </si>
  <si>
    <t>Corral</t>
  </si>
  <si>
    <t>Lanco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</si>
  <si>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</si>
  <si>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</si>
  <si>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</si>
  <si>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</si>
  <si>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</si>
  <si>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</si>
  <si>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</si>
  <si>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</si>
  <si>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Arica y Parinacota</t>
  </si>
  <si>
    <t>Arica</t>
  </si>
  <si>
    <t>Camarones</t>
  </si>
  <si>
    <t>Putre</t>
  </si>
  <si>
    <t>General Lagos</t>
  </si>
  <si>
    <t>Ñuble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</si>
  <si>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</si>
  <si>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</si>
  <si>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</si>
  <si>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</si>
  <si>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</si>
  <si>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</si>
  <si>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</si>
  <si>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</si>
  <si>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</si>
  <si>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Quirihue</t>
  </si>
  <si>
    <t>Cobquecura</t>
  </si>
  <si>
    <t>Coelemu</t>
  </si>
  <si>
    <t>Ninhue</t>
  </si>
  <si>
    <t>Portezuelo</t>
  </si>
  <si>
    <t>Ránquil</t>
  </si>
  <si>
    <t>Trehuaco</t>
  </si>
  <si>
    <t>San Carlos</t>
  </si>
  <si>
    <t>Coihueco</t>
  </si>
  <si>
    <t>Ñiquén</t>
  </si>
  <si>
    <t>San Fabián</t>
  </si>
  <si>
    <t>San Nicolás</t>
  </si>
  <si>
    <t>Antártica</t>
  </si>
  <si>
    <t>N/A</t>
  </si>
  <si>
    <t>-</t>
  </si>
  <si>
    <t>Índice Comunal de Factores Subyacentes del Riesgo de Desastres (ICFSR) de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</si>
</sst>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10C0A]#,##0;\(#,##0\)"/>
    <numFmt numFmtId="165" formatCode="_(* #,##0_);_(* \(#,##0\);_(* &quot;-&quot;??_);_(@_)"/>
    <numFmt numFmtId="166" formatCode="_(* #,##0.0000_);_(* \(#,##0.00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43" fontId="0" fillId="0" borderId="1" xfId="1" applyFont="1" applyBorder="1"/>
    <xf numFmtId="165" fontId="0" fillId="0" borderId="1" xfId="1" applyNumberFormat="1" applyFon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43" fontId="0" fillId="0" borderId="0" xfId="0" applyNumberForma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FAF3-9D87-40EF-B5CC-F7D5A4B9EEE1}">
  <sheetPr filterMode="1"/>
  <dimension ref="A2:T365"/>
  <sheetViews>
    <sheetView tabSelected="1" workbookViewId="0">
      <selection activeCell="S14" sqref="S14"/>
    </sheetView>
  </sheetViews>
  <sheetFormatPr defaultRowHeight="15" x14ac:dyDescent="0.25"/>
  <cols>
    <col min="2" max="3" width="47.5703125" customWidth="1"/>
    <col min="4" max="4" width="10.85546875" customWidth="1"/>
    <col min="5" max="5" width="14.42578125" customWidth="1"/>
    <col min="6" max="6" width="12.85546875" customWidth="1"/>
    <col min="7" max="7" width="13.28515625" bestFit="1" customWidth="1"/>
    <col min="8" max="8" width="17.140625" customWidth="1"/>
    <col min="9" max="9" width="18.5703125" customWidth="1"/>
    <col min="11" max="11" width="12.42578125" customWidth="1"/>
    <col min="12" max="12" width="13.5703125" customWidth="1"/>
    <col min="13" max="13" width="15.42578125" customWidth="1"/>
    <col min="14" max="14" width="16.140625" customWidth="1"/>
  </cols>
  <sheetData>
    <row r="2" spans="1:18" ht="48.75" customHeight="1" x14ac:dyDescent="0.25">
      <c r="A2" s="1"/>
      <c r="B2" s="2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 t="s">
        <v>8</v>
      </c>
      <c r="K2" s="3" t="s">
        <v>9</v>
      </c>
      <c r="L2" s="2" t="s">
        <v>10</v>
      </c>
      <c r="M2" s="3" t="s">
        <v>11</v>
      </c>
      <c r="N2" s="3" t="s">
        <v>12</v>
      </c>
    </row>
    <row r="3" spans="1:18" ht="15.75" x14ac:dyDescent="0.25">
      <c r="A3">
        <v>1</v>
      </c>
      <c r="B3" s="4" t="s">
        <v>13</v>
      </c>
      <c r="C3" s="5" t="s">
        <v>14</v>
      </c>
      <c r="D3" s="1">
        <v>1101</v>
      </c>
      <c r="E3" s="6">
        <v>199587</v>
      </c>
      <c r="F3" s="6">
        <v>37595</v>
      </c>
      <c r="G3" s="6">
        <v>24228</v>
      </c>
      <c r="H3" s="7">
        <f>G3/F3*100</f>
        <v>64.444739992020217</v>
      </c>
      <c r="I3" s="8">
        <f>G3/(E3/100000)</f>
        <v>12139.067173713718</v>
      </c>
      <c r="J3" s="1">
        <v>2</v>
      </c>
      <c r="K3" s="9">
        <f>I3/100000</f>
        <v>0.12139067173713718</v>
      </c>
      <c r="L3" s="1">
        <v>0.68500000000000005</v>
      </c>
      <c r="M3" s="10">
        <v>0.26919999999999999</v>
      </c>
      <c r="N3" s="9">
        <f>0.3328+(0.3351*K3)-(0.3324*L3)+(0.333*M3)</f>
        <v>0.23542761409911461</v>
      </c>
      <c r="P3" t="s">
        <v>374</v>
      </c>
    </row>
    <row r="4" spans="1:18" ht="17.25" customHeight="1" x14ac:dyDescent="0.25">
      <c r="A4">
        <v>2</v>
      </c>
      <c r="B4" s="4" t="s">
        <v>13</v>
      </c>
      <c r="C4" s="5" t="s">
        <v>15</v>
      </c>
      <c r="D4" s="1">
        <v>1107</v>
      </c>
      <c r="E4" s="6">
        <v>142086</v>
      </c>
      <c r="F4" s="6">
        <v>36164</v>
      </c>
      <c r="G4" s="6">
        <v>7706</v>
      </c>
      <c r="H4" s="7">
        <f>G4/F4*100</f>
        <v>21.308483574825793</v>
      </c>
      <c r="I4" s="8">
        <f>G4/(E4/100000)</f>
        <v>5423.4759230325299</v>
      </c>
      <c r="J4" s="1">
        <v>2</v>
      </c>
      <c r="K4" s="9">
        <f>I4/100000</f>
        <v>5.4234759230325301E-2</v>
      </c>
      <c r="L4" s="1">
        <v>0.57799999999999996</v>
      </c>
      <c r="M4" s="10">
        <v>0.21240000000000001</v>
      </c>
      <c r="N4" s="9">
        <f>0.3328+(0.3351*K4)-(0.3324*L4)+(0.333*M4)</f>
        <v>0.22957606781808204</v>
      </c>
      <c r="P4" t="s">
        <v>16</v>
      </c>
    </row>
    <row r="5" spans="1:18" ht="15.75" x14ac:dyDescent="0.25">
      <c r="A5">
        <v>3</v>
      </c>
      <c r="B5" s="4" t="s">
        <v>13</v>
      </c>
      <c r="C5" s="5" t="s">
        <v>17</v>
      </c>
      <c r="D5" s="1">
        <v>1401</v>
      </c>
      <c r="E5" s="6">
        <v>16878</v>
      </c>
      <c r="F5" s="6">
        <v>4053</v>
      </c>
      <c r="G5" s="6">
        <v>1709</v>
      </c>
      <c r="H5" s="7">
        <f>G5/F5*100</f>
        <v>42.166296570441645</v>
      </c>
      <c r="I5" s="8">
        <f>G5/(E5/100000)</f>
        <v>10125.607299443061</v>
      </c>
      <c r="J5" s="1">
        <v>4</v>
      </c>
      <c r="K5" s="9">
        <f>I5/100000</f>
        <v>0.10125607299443061</v>
      </c>
      <c r="L5" s="1">
        <v>0.61699999999999999</v>
      </c>
      <c r="M5" s="10">
        <v>0.31340000000000001</v>
      </c>
      <c r="N5" s="9">
        <f>0.3328+(0.3351*K5)-(0.3324*L5)+(0.333*M5)</f>
        <v>0.26600231006043373</v>
      </c>
      <c r="P5" t="s">
        <v>18</v>
      </c>
    </row>
    <row r="6" spans="1:18" ht="15.75" x14ac:dyDescent="0.25">
      <c r="A6">
        <v>4</v>
      </c>
      <c r="B6" s="4" t="s">
        <v>13</v>
      </c>
      <c r="C6" s="5" t="s">
        <v>19</v>
      </c>
      <c r="D6" s="1">
        <v>1402</v>
      </c>
      <c r="E6" s="6">
        <v>1335</v>
      </c>
      <c r="F6" s="6">
        <v>335</v>
      </c>
      <c r="G6" s="6">
        <v>236</v>
      </c>
      <c r="H6" s="7">
        <f>G6/F6*100</f>
        <v>70.447761194029852</v>
      </c>
      <c r="I6" s="8">
        <f>G6/(E6/100000)</f>
        <v>17677.902621722846</v>
      </c>
      <c r="J6" s="1">
        <v>5</v>
      </c>
      <c r="K6" s="9">
        <f>I6/100000</f>
        <v>0.17677902621722846</v>
      </c>
      <c r="L6" s="1">
        <v>0.46300000000000002</v>
      </c>
      <c r="M6" s="10">
        <v>0.39779999999999999</v>
      </c>
      <c r="N6" s="9">
        <f>0.3328+(0.3351*K6)-(0.3324*L6)+(0.333*M6)</f>
        <v>0.37060485168539326</v>
      </c>
    </row>
    <row r="7" spans="1:18" ht="15.75" x14ac:dyDescent="0.25">
      <c r="A7">
        <v>5</v>
      </c>
      <c r="B7" s="4" t="s">
        <v>13</v>
      </c>
      <c r="C7" s="5" t="s">
        <v>20</v>
      </c>
      <c r="D7" s="1">
        <v>1403</v>
      </c>
      <c r="E7" s="6">
        <v>790</v>
      </c>
      <c r="F7" s="6">
        <v>194</v>
      </c>
      <c r="G7" s="6">
        <v>133</v>
      </c>
      <c r="H7" s="7">
        <f>G7/F7*100</f>
        <v>68.55670103092784</v>
      </c>
      <c r="I7" s="8">
        <f>G7/(E7/100000)</f>
        <v>16835.443037974681</v>
      </c>
      <c r="J7" s="1">
        <v>5</v>
      </c>
      <c r="K7" s="9">
        <f>I7/100000</f>
        <v>0.16835443037974682</v>
      </c>
      <c r="L7" s="1">
        <v>0.40699999999999997</v>
      </c>
      <c r="M7" s="10">
        <v>0.52070000000000005</v>
      </c>
      <c r="N7" s="9">
        <f>0.3328+(0.3351*K7)-(0.3324*L7)+(0.333*M7)</f>
        <v>0.4273218696202532</v>
      </c>
      <c r="R7">
        <v>1</v>
      </c>
    </row>
    <row r="8" spans="1:18" ht="15.75" x14ac:dyDescent="0.25">
      <c r="A8">
        <v>6</v>
      </c>
      <c r="B8" s="4" t="s">
        <v>13</v>
      </c>
      <c r="C8" s="5" t="s">
        <v>21</v>
      </c>
      <c r="D8" s="1">
        <v>1404</v>
      </c>
      <c r="E8" s="6">
        <v>2858</v>
      </c>
      <c r="F8" s="6">
        <v>698</v>
      </c>
      <c r="G8" s="6">
        <v>441</v>
      </c>
      <c r="H8" s="7">
        <f>G8/F8*100</f>
        <v>63.180515759312314</v>
      </c>
      <c r="I8" s="8">
        <f>G8/(E8/100000)</f>
        <v>15430.37088873338</v>
      </c>
      <c r="J8" s="1">
        <v>5</v>
      </c>
      <c r="K8" s="9">
        <f>I8/100000</f>
        <v>0.1543037088873338</v>
      </c>
      <c r="L8" s="1">
        <v>0.51500000000000001</v>
      </c>
      <c r="M8" s="10">
        <v>0.29730000000000001</v>
      </c>
      <c r="N8" s="9">
        <f>0.3328+(0.3351*K8)-(0.3324*L8)+(0.333*M8)</f>
        <v>0.31232207284814562</v>
      </c>
    </row>
    <row r="9" spans="1:18" ht="15.75" x14ac:dyDescent="0.25">
      <c r="A9">
        <v>7</v>
      </c>
      <c r="B9" s="4" t="s">
        <v>13</v>
      </c>
      <c r="C9" s="5" t="s">
        <v>22</v>
      </c>
      <c r="D9" s="1">
        <v>1405</v>
      </c>
      <c r="E9" s="6">
        <v>6272</v>
      </c>
      <c r="F9" s="6">
        <v>1493</v>
      </c>
      <c r="G9" s="6">
        <v>875</v>
      </c>
      <c r="H9" s="7">
        <f>G9/F9*100</f>
        <v>58.606831882116538</v>
      </c>
      <c r="I9" s="8">
        <f>G9/(E9/100000)</f>
        <v>13950.892857142857</v>
      </c>
      <c r="J9" s="1">
        <v>4</v>
      </c>
      <c r="K9" s="9">
        <f>I9/100000</f>
        <v>0.13950892857142858</v>
      </c>
      <c r="L9" s="1">
        <v>0.627</v>
      </c>
      <c r="M9" s="10">
        <v>0.38719999999999999</v>
      </c>
      <c r="N9" s="9">
        <f>0.3328+(0.3351*K9)-(0.3324*L9)+(0.333*M9)</f>
        <v>0.30007224196428572</v>
      </c>
    </row>
    <row r="10" spans="1:18" ht="17.25" customHeight="1" x14ac:dyDescent="0.25">
      <c r="A10">
        <v>8</v>
      </c>
      <c r="B10" s="4" t="s">
        <v>23</v>
      </c>
      <c r="C10" s="5" t="s">
        <v>23</v>
      </c>
      <c r="D10" s="1">
        <v>2101</v>
      </c>
      <c r="E10" s="6">
        <v>401096</v>
      </c>
      <c r="F10" s="6">
        <v>75810</v>
      </c>
      <c r="G10" s="6">
        <v>39059</v>
      </c>
      <c r="H10" s="7">
        <f>G10/F10*100</f>
        <v>51.52222661917952</v>
      </c>
      <c r="I10" s="8">
        <f>G10/(E10/100000)</f>
        <v>9738.0676945170235</v>
      </c>
      <c r="J10" s="1">
        <v>1</v>
      </c>
      <c r="K10" s="9">
        <f>I10/100000</f>
        <v>9.7380676945170233E-2</v>
      </c>
      <c r="L10" s="1">
        <v>0.69599999999999995</v>
      </c>
      <c r="M10" s="10">
        <v>0.4516</v>
      </c>
      <c r="N10" s="9">
        <f>0.3328+(0.3351*K10)-(0.3324*L10)+(0.333*M10)</f>
        <v>0.28446466484432664</v>
      </c>
    </row>
    <row r="11" spans="1:18" ht="18" customHeight="1" x14ac:dyDescent="0.25">
      <c r="A11">
        <v>9</v>
      </c>
      <c r="B11" s="4" t="s">
        <v>23</v>
      </c>
      <c r="C11" s="5" t="s">
        <v>24</v>
      </c>
      <c r="D11" s="1">
        <v>2102</v>
      </c>
      <c r="E11" s="6">
        <v>14084</v>
      </c>
      <c r="F11" s="6">
        <v>3346</v>
      </c>
      <c r="G11" s="6">
        <v>1113</v>
      </c>
      <c r="H11" s="7">
        <f>G11/F11*100</f>
        <v>33.263598326359833</v>
      </c>
      <c r="I11" s="8">
        <f>G11/(E11/100000)</f>
        <v>7902.5844930417497</v>
      </c>
      <c r="J11" s="1">
        <v>4</v>
      </c>
      <c r="K11" s="9">
        <f>I11/100000</f>
        <v>7.9025844930417491E-2</v>
      </c>
      <c r="L11" s="1">
        <v>0.64700000000000002</v>
      </c>
      <c r="M11" s="10">
        <v>0.43480000000000002</v>
      </c>
      <c r="N11" s="9">
        <f>0.3328+(0.3351*K11)-(0.3324*L11)+(0.333*M11)</f>
        <v>0.28900716063618292</v>
      </c>
    </row>
    <row r="12" spans="1:18" ht="15.75" x14ac:dyDescent="0.25">
      <c r="A12">
        <v>10</v>
      </c>
      <c r="B12" s="4" t="s">
        <v>23</v>
      </c>
      <c r="C12" s="5" t="s">
        <v>25</v>
      </c>
      <c r="D12" s="1">
        <v>2103</v>
      </c>
      <c r="E12" s="6">
        <v>1472</v>
      </c>
      <c r="F12" s="6">
        <v>365</v>
      </c>
      <c r="G12" s="6">
        <v>102</v>
      </c>
      <c r="H12" s="7">
        <f>G12/F12*100</f>
        <v>27.945205479452056</v>
      </c>
      <c r="I12" s="8">
        <f>G12/(E12/100000)</f>
        <v>6929.347826086956</v>
      </c>
      <c r="J12" s="1">
        <v>4</v>
      </c>
      <c r="K12" s="9">
        <f>I12/100000</f>
        <v>6.9293478260869554E-2</v>
      </c>
      <c r="L12" s="1">
        <v>0.61799999999999999</v>
      </c>
      <c r="M12" s="10">
        <v>0.35289999999999999</v>
      </c>
      <c r="N12" s="9">
        <f>0.3328+(0.3351*K12)-(0.3324*L12)+(0.333*M12)</f>
        <v>0.26811274456521739</v>
      </c>
    </row>
    <row r="13" spans="1:18" ht="15.75" x14ac:dyDescent="0.25">
      <c r="A13">
        <v>11</v>
      </c>
      <c r="B13" s="4" t="s">
        <v>23</v>
      </c>
      <c r="C13" s="5" t="s">
        <v>26</v>
      </c>
      <c r="D13" s="1">
        <v>2104</v>
      </c>
      <c r="E13" s="6">
        <v>12097</v>
      </c>
      <c r="F13" s="6">
        <v>2403</v>
      </c>
      <c r="G13" s="6">
        <v>1572</v>
      </c>
      <c r="H13" s="7">
        <f>G13/F13*100</f>
        <v>65.418227215980025</v>
      </c>
      <c r="I13" s="8">
        <f>G13/(E13/100000)</f>
        <v>12994.957427461355</v>
      </c>
      <c r="J13" s="1">
        <v>3</v>
      </c>
      <c r="K13" s="9">
        <f>I13/100000</f>
        <v>0.12994957427461354</v>
      </c>
      <c r="L13" s="1">
        <v>0.64</v>
      </c>
      <c r="M13" s="10">
        <v>0.315</v>
      </c>
      <c r="N13" s="9">
        <f>0.3328+(0.3351*K13)-(0.3324*L13)+(0.333*M13)</f>
        <v>0.26850510233942304</v>
      </c>
    </row>
    <row r="14" spans="1:18" ht="15.75" x14ac:dyDescent="0.25">
      <c r="A14">
        <v>12</v>
      </c>
      <c r="B14" s="4" t="s">
        <v>23</v>
      </c>
      <c r="C14" s="5" t="s">
        <v>27</v>
      </c>
      <c r="D14" s="1">
        <v>2201</v>
      </c>
      <c r="E14" s="6">
        <v>166334</v>
      </c>
      <c r="F14" s="6">
        <v>34790</v>
      </c>
      <c r="G14" s="6">
        <v>15044</v>
      </c>
      <c r="H14" s="7">
        <f>G14/F14*100</f>
        <v>43.242311008910605</v>
      </c>
      <c r="I14" s="8">
        <f>G14/(E14/100000)</f>
        <v>9044.4527276443787</v>
      </c>
      <c r="J14" s="1">
        <v>2</v>
      </c>
      <c r="K14" s="9">
        <f>I14/100000</f>
        <v>9.0444527276443781E-2</v>
      </c>
      <c r="L14" s="1">
        <v>0.68899999999999995</v>
      </c>
      <c r="M14" s="10">
        <v>0.45500000000000002</v>
      </c>
      <c r="N14" s="9">
        <f>0.3328+(0.3351*K14)-(0.3324*L14)+(0.333*M14)</f>
        <v>0.28559936109033635</v>
      </c>
    </row>
    <row r="15" spans="1:18" ht="15.75" hidden="1" x14ac:dyDescent="0.25">
      <c r="A15">
        <v>13</v>
      </c>
      <c r="B15" s="4" t="s">
        <v>23</v>
      </c>
      <c r="C15" s="5" t="s">
        <v>28</v>
      </c>
      <c r="D15" s="1">
        <v>2202</v>
      </c>
      <c r="E15" s="6">
        <v>256</v>
      </c>
      <c r="F15" s="6">
        <v>48</v>
      </c>
      <c r="G15" s="6">
        <v>35</v>
      </c>
      <c r="H15" s="7">
        <f>G15/F15*100</f>
        <v>72.916666666666657</v>
      </c>
      <c r="I15" s="8">
        <f>G15/(E15/100000)</f>
        <v>13671.874999999998</v>
      </c>
      <c r="J15" s="1">
        <v>5</v>
      </c>
      <c r="K15" s="9">
        <f>I15/100000</f>
        <v>0.13671874999999997</v>
      </c>
      <c r="L15" s="1"/>
      <c r="M15" s="10">
        <v>0.624</v>
      </c>
      <c r="N15" s="1"/>
    </row>
    <row r="16" spans="1:18" ht="15.75" x14ac:dyDescent="0.25">
      <c r="A16">
        <v>14</v>
      </c>
      <c r="B16" s="4" t="s">
        <v>23</v>
      </c>
      <c r="C16" s="5" t="s">
        <v>29</v>
      </c>
      <c r="D16" s="1">
        <v>2203</v>
      </c>
      <c r="E16" s="6">
        <v>9843</v>
      </c>
      <c r="F16" s="6">
        <v>2058</v>
      </c>
      <c r="G16" s="6">
        <v>839</v>
      </c>
      <c r="H16" s="7">
        <f>G16/F16*100</f>
        <v>40.76773566569485</v>
      </c>
      <c r="I16" s="8">
        <f>G16/(E16/100000)</f>
        <v>8523.8240373869758</v>
      </c>
      <c r="J16" s="1">
        <v>4</v>
      </c>
      <c r="K16" s="9">
        <f>I16/100000</f>
        <v>8.5238240373869761E-2</v>
      </c>
      <c r="L16" s="1">
        <v>0.56499999999999995</v>
      </c>
      <c r="M16" s="10">
        <v>0.63119999999999998</v>
      </c>
      <c r="N16" s="9">
        <f>0.3328+(0.3351*K16)-(0.3324*L16)+(0.333*M16)</f>
        <v>0.38374693434928375</v>
      </c>
    </row>
    <row r="17" spans="1:14" ht="15.75" x14ac:dyDescent="0.25">
      <c r="A17">
        <v>15</v>
      </c>
      <c r="B17" s="4" t="s">
        <v>23</v>
      </c>
      <c r="C17" s="5" t="s">
        <v>30</v>
      </c>
      <c r="D17" s="1">
        <v>2301</v>
      </c>
      <c r="E17" s="6">
        <v>25400</v>
      </c>
      <c r="F17" s="6">
        <v>5182</v>
      </c>
      <c r="G17" s="6">
        <v>3355</v>
      </c>
      <c r="H17" s="7">
        <f>G17/F17*100</f>
        <v>64.743342338865304</v>
      </c>
      <c r="I17" s="8">
        <f>G17/(E17/100000)</f>
        <v>13208.661417322834</v>
      </c>
      <c r="J17" s="1">
        <v>3</v>
      </c>
      <c r="K17" s="9">
        <f>I17/100000</f>
        <v>0.13208661417322834</v>
      </c>
      <c r="L17" s="1">
        <v>0.63100000000000001</v>
      </c>
      <c r="M17" s="10">
        <v>0.53210000000000002</v>
      </c>
      <c r="N17" s="9">
        <f>0.3328+(0.3351*K17)-(0.3324*L17)+(0.333*M17)</f>
        <v>0.34450712440944886</v>
      </c>
    </row>
    <row r="18" spans="1:14" ht="18" customHeight="1" x14ac:dyDescent="0.25">
      <c r="A18">
        <v>16</v>
      </c>
      <c r="B18" s="4" t="s">
        <v>23</v>
      </c>
      <c r="C18" s="5" t="s">
        <v>31</v>
      </c>
      <c r="D18" s="1">
        <v>2302</v>
      </c>
      <c r="E18" s="6">
        <v>4834</v>
      </c>
      <c r="F18" s="6">
        <v>950</v>
      </c>
      <c r="G18" s="6">
        <v>450</v>
      </c>
      <c r="H18" s="7">
        <f>G18/F18*100</f>
        <v>47.368421052631575</v>
      </c>
      <c r="I18" s="8">
        <f>G18/(E18/100000)</f>
        <v>9309.0608191973515</v>
      </c>
      <c r="J18" s="1">
        <v>4</v>
      </c>
      <c r="K18" s="9">
        <f>I18/100000</f>
        <v>9.3090608191973512E-2</v>
      </c>
      <c r="L18" s="1">
        <v>0.70199999999999996</v>
      </c>
      <c r="M18" s="10">
        <v>0.60389999999999999</v>
      </c>
      <c r="N18" s="9">
        <f>0.3328+(0.3351*K18)-(0.3324*L18)+(0.333*M18)</f>
        <v>0.33174856280513038</v>
      </c>
    </row>
    <row r="19" spans="1:14" ht="17.25" customHeight="1" x14ac:dyDescent="0.25">
      <c r="A19">
        <v>17</v>
      </c>
      <c r="B19" s="4" t="s">
        <v>32</v>
      </c>
      <c r="C19" s="5" t="s">
        <v>33</v>
      </c>
      <c r="D19" s="1">
        <v>3101</v>
      </c>
      <c r="E19" s="6">
        <v>168831</v>
      </c>
      <c r="F19" s="6">
        <v>33541</v>
      </c>
      <c r="G19" s="6">
        <v>18681</v>
      </c>
      <c r="H19" s="7">
        <f>G19/F19*100</f>
        <v>55.696013833815329</v>
      </c>
      <c r="I19" s="8">
        <f>G19/(E19/100000)</f>
        <v>11064.911064911064</v>
      </c>
      <c r="J19" s="1">
        <v>2</v>
      </c>
      <c r="K19" s="9">
        <f>I19/100000</f>
        <v>0.11064911064911065</v>
      </c>
      <c r="L19" s="1">
        <v>0.68799999999999994</v>
      </c>
      <c r="M19" s="10">
        <v>0.31459999999999999</v>
      </c>
      <c r="N19" s="9">
        <f>0.3328+(0.3351*K19)-(0.3324*L19)+(0.333*M19)</f>
        <v>0.24594911697851701</v>
      </c>
    </row>
    <row r="20" spans="1:14" ht="15.75" x14ac:dyDescent="0.25">
      <c r="A20">
        <v>18</v>
      </c>
      <c r="B20" s="4" t="s">
        <v>32</v>
      </c>
      <c r="C20" s="5" t="s">
        <v>34</v>
      </c>
      <c r="D20" s="1">
        <v>3102</v>
      </c>
      <c r="E20" s="6">
        <v>18805</v>
      </c>
      <c r="F20" s="6">
        <v>3620</v>
      </c>
      <c r="G20" s="6">
        <v>2708</v>
      </c>
      <c r="H20" s="7">
        <f>G20/F20*100</f>
        <v>74.806629834254153</v>
      </c>
      <c r="I20" s="8">
        <f>G20/(E20/100000)</f>
        <v>14400.425418771603</v>
      </c>
      <c r="J20" s="1">
        <v>3</v>
      </c>
      <c r="K20" s="9">
        <f>I20/100000</f>
        <v>0.14400425418771604</v>
      </c>
      <c r="L20" s="1">
        <v>0.66800000000000004</v>
      </c>
      <c r="M20" s="10">
        <v>0.16850000000000001</v>
      </c>
      <c r="N20" s="9">
        <f>0.3328+(0.3351*K20)-(0.3324*L20)+(0.333*M20)</f>
        <v>0.21512312557830365</v>
      </c>
    </row>
    <row r="21" spans="1:14" ht="15.75" x14ac:dyDescent="0.25">
      <c r="A21">
        <v>19</v>
      </c>
      <c r="B21" s="4" t="s">
        <v>32</v>
      </c>
      <c r="C21" s="5" t="s">
        <v>35</v>
      </c>
      <c r="D21" s="1">
        <v>3103</v>
      </c>
      <c r="E21" s="6">
        <v>11846</v>
      </c>
      <c r="F21" s="6">
        <v>2456</v>
      </c>
      <c r="G21" s="6">
        <v>1354</v>
      </c>
      <c r="H21" s="7">
        <f>G21/F21*100</f>
        <v>55.130293159609124</v>
      </c>
      <c r="I21" s="8">
        <f>G21/(E21/100000)</f>
        <v>11430.018571669762</v>
      </c>
      <c r="J21" s="1">
        <v>4</v>
      </c>
      <c r="K21" s="9">
        <f>I21/100000</f>
        <v>0.11430018571669762</v>
      </c>
      <c r="L21" s="1">
        <v>0.56799999999999995</v>
      </c>
      <c r="M21" s="10">
        <v>0.36170000000000002</v>
      </c>
      <c r="N21" s="9">
        <f>0.3328+(0.3351*K21)-(0.3324*L21)+(0.333*M21)</f>
        <v>0.30274489223366541</v>
      </c>
    </row>
    <row r="22" spans="1:14" ht="15.75" x14ac:dyDescent="0.25">
      <c r="A22">
        <v>20</v>
      </c>
      <c r="B22" s="4" t="s">
        <v>32</v>
      </c>
      <c r="C22" s="5" t="s">
        <v>36</v>
      </c>
      <c r="D22" s="1">
        <v>3201</v>
      </c>
      <c r="E22" s="6">
        <v>12345</v>
      </c>
      <c r="F22" s="6">
        <v>2506</v>
      </c>
      <c r="G22" s="6">
        <v>1844</v>
      </c>
      <c r="H22" s="7">
        <f>G22/F22*100</f>
        <v>73.58339984038308</v>
      </c>
      <c r="I22" s="8">
        <f>G22/(E22/100000)</f>
        <v>14937.221547185094</v>
      </c>
      <c r="J22" s="1">
        <v>3</v>
      </c>
      <c r="K22" s="9">
        <f>I22/100000</f>
        <v>0.14937221547185095</v>
      </c>
      <c r="L22" s="1">
        <v>0.63</v>
      </c>
      <c r="M22" s="10">
        <v>0.35959999999999998</v>
      </c>
      <c r="N22" s="9">
        <f>0.3328+(0.3351*K22)-(0.3324*L22)+(0.333*M22)</f>
        <v>0.29318942940461723</v>
      </c>
    </row>
    <row r="23" spans="1:14" ht="15.75" x14ac:dyDescent="0.25">
      <c r="A23">
        <v>21</v>
      </c>
      <c r="B23" s="4" t="s">
        <v>32</v>
      </c>
      <c r="C23" s="5" t="s">
        <v>37</v>
      </c>
      <c r="D23" s="1">
        <v>3202</v>
      </c>
      <c r="E23" s="6">
        <v>11397</v>
      </c>
      <c r="F23" s="6">
        <v>2412</v>
      </c>
      <c r="G23" s="6">
        <v>1172</v>
      </c>
      <c r="H23" s="7">
        <f>G23/F23*100</f>
        <v>48.59038142620232</v>
      </c>
      <c r="I23" s="8">
        <f>G23/(E23/100000)</f>
        <v>10283.407914363428</v>
      </c>
      <c r="J23" s="1">
        <v>4</v>
      </c>
      <c r="K23" s="9">
        <f>I23/100000</f>
        <v>0.10283407914363428</v>
      </c>
      <c r="L23" s="1">
        <v>0.72</v>
      </c>
      <c r="M23" s="10">
        <v>0.40089999999999998</v>
      </c>
      <c r="N23" s="9">
        <f>0.3328+(0.3351*K23)-(0.3324*L23)+(0.333*M23)</f>
        <v>0.26143139992103187</v>
      </c>
    </row>
    <row r="24" spans="1:14" ht="15.75" x14ac:dyDescent="0.25">
      <c r="A24">
        <v>22</v>
      </c>
      <c r="B24" s="4" t="s">
        <v>32</v>
      </c>
      <c r="C24" s="5" t="s">
        <v>38</v>
      </c>
      <c r="D24" s="1">
        <v>3301</v>
      </c>
      <c r="E24" s="6">
        <v>54222</v>
      </c>
      <c r="F24" s="6">
        <v>10541</v>
      </c>
      <c r="G24" s="6">
        <v>8050</v>
      </c>
      <c r="H24" s="7">
        <f>G24/F24*100</f>
        <v>76.368465989944028</v>
      </c>
      <c r="I24" s="8">
        <f>G24/(E24/100000)</f>
        <v>14846.372321198036</v>
      </c>
      <c r="J24" s="1">
        <v>3</v>
      </c>
      <c r="K24" s="9">
        <f>I24/100000</f>
        <v>0.14846372321198037</v>
      </c>
      <c r="L24" s="1">
        <v>0.65900000000000003</v>
      </c>
      <c r="M24" s="10">
        <v>0.45579999999999998</v>
      </c>
      <c r="N24" s="9">
        <f>0.3328+(0.3351*K24)-(0.3324*L24)+(0.333*M24)</f>
        <v>0.31527999364833459</v>
      </c>
    </row>
    <row r="25" spans="1:14" ht="15.75" x14ac:dyDescent="0.25">
      <c r="A25">
        <v>23</v>
      </c>
      <c r="B25" s="4" t="s">
        <v>32</v>
      </c>
      <c r="C25" s="5" t="s">
        <v>39</v>
      </c>
      <c r="D25" s="1">
        <v>3302</v>
      </c>
      <c r="E25" s="6">
        <v>4788</v>
      </c>
      <c r="F25" s="6">
        <v>788</v>
      </c>
      <c r="G25" s="6">
        <v>1024</v>
      </c>
      <c r="H25" s="7">
        <f>G25/F25*100</f>
        <v>129.94923857868019</v>
      </c>
      <c r="I25" s="8">
        <f>G25/(E25/100000)</f>
        <v>21386.800334168754</v>
      </c>
      <c r="J25" s="1">
        <v>5</v>
      </c>
      <c r="K25" s="9">
        <f>I25/100000</f>
        <v>0.21386800334168754</v>
      </c>
      <c r="L25" s="1">
        <v>0.56599999999999995</v>
      </c>
      <c r="M25" s="10">
        <v>0.36209999999999998</v>
      </c>
      <c r="N25" s="9">
        <f>0.3328+(0.3351*K25)-(0.3324*L25)+(0.333*M25)</f>
        <v>0.33690806791979955</v>
      </c>
    </row>
    <row r="26" spans="1:14" ht="15.75" x14ac:dyDescent="0.25">
      <c r="A26">
        <v>24</v>
      </c>
      <c r="B26" s="4" t="s">
        <v>32</v>
      </c>
      <c r="C26" s="5" t="s">
        <v>40</v>
      </c>
      <c r="D26" s="1">
        <v>3303</v>
      </c>
      <c r="E26" s="6">
        <v>7577</v>
      </c>
      <c r="F26" s="6">
        <v>1489</v>
      </c>
      <c r="G26" s="6">
        <v>1183</v>
      </c>
      <c r="H26" s="7">
        <f>G26/F26*100</f>
        <v>79.449294828744115</v>
      </c>
      <c r="I26" s="8">
        <f>G26/(E26/100000)</f>
        <v>15613.039461528309</v>
      </c>
      <c r="J26" s="1">
        <v>4</v>
      </c>
      <c r="K26" s="9">
        <f>I26/100000</f>
        <v>0.15613039461528308</v>
      </c>
      <c r="L26" s="1">
        <v>0.60399999999999998</v>
      </c>
      <c r="M26" s="10">
        <v>0.62360000000000004</v>
      </c>
      <c r="N26" s="9">
        <f>0.3328+(0.3351*K26)-(0.3324*L26)+(0.333*M26)</f>
        <v>0.39200849523558146</v>
      </c>
    </row>
    <row r="27" spans="1:14" ht="15.75" x14ac:dyDescent="0.25">
      <c r="A27">
        <v>25</v>
      </c>
      <c r="B27" s="4" t="s">
        <v>32</v>
      </c>
      <c r="C27" s="5" t="s">
        <v>41</v>
      </c>
      <c r="D27" s="1">
        <v>3304</v>
      </c>
      <c r="E27" s="6">
        <v>9369</v>
      </c>
      <c r="F27" s="6">
        <v>1750</v>
      </c>
      <c r="G27" s="6">
        <v>1632</v>
      </c>
      <c r="H27" s="7">
        <f>G27/F27*100</f>
        <v>93.257142857142867</v>
      </c>
      <c r="I27" s="8">
        <f>G27/(E27/100000)</f>
        <v>17419.148254883126</v>
      </c>
      <c r="J27" s="1">
        <v>4</v>
      </c>
      <c r="K27" s="9">
        <f>I27/100000</f>
        <v>0.17419148254883127</v>
      </c>
      <c r="L27" s="1">
        <v>0.64700000000000002</v>
      </c>
      <c r="M27" s="10">
        <v>0.45319999999999999</v>
      </c>
      <c r="N27" s="9">
        <f>0.3328+(0.3351*K27)-(0.3324*L27)+(0.333*M27)</f>
        <v>0.32702436580211336</v>
      </c>
    </row>
    <row r="28" spans="1:14" ht="15.75" x14ac:dyDescent="0.25">
      <c r="A28">
        <v>26</v>
      </c>
      <c r="B28" s="4" t="s">
        <v>42</v>
      </c>
      <c r="C28" s="5" t="s">
        <v>43</v>
      </c>
      <c r="D28" s="1">
        <v>4101</v>
      </c>
      <c r="E28" s="6">
        <v>250141</v>
      </c>
      <c r="F28" s="6">
        <v>45405</v>
      </c>
      <c r="G28" s="6">
        <v>33067</v>
      </c>
      <c r="H28" s="7">
        <f>G28/F28*100</f>
        <v>72.826781191498739</v>
      </c>
      <c r="I28" s="8">
        <f>G28/(E28/100000)</f>
        <v>13219.344289820541</v>
      </c>
      <c r="J28" s="1">
        <v>2</v>
      </c>
      <c r="K28" s="9">
        <f>I28/100000</f>
        <v>0.13219344289820542</v>
      </c>
      <c r="L28" s="1">
        <v>0.69499999999999995</v>
      </c>
      <c r="M28" s="10">
        <v>0.1857</v>
      </c>
      <c r="N28" s="9">
        <f>0.3328+(0.3351*K28)-(0.3324*L28)+(0.333*M28)</f>
        <v>0.20791812271518864</v>
      </c>
    </row>
    <row r="29" spans="1:14" ht="15.75" x14ac:dyDescent="0.25">
      <c r="A29">
        <v>27</v>
      </c>
      <c r="B29" s="4" t="s">
        <v>42</v>
      </c>
      <c r="C29" s="5" t="s">
        <v>42</v>
      </c>
      <c r="D29" s="1">
        <v>4102</v>
      </c>
      <c r="E29" s="6">
        <v>263719</v>
      </c>
      <c r="F29" s="6">
        <v>50870</v>
      </c>
      <c r="G29" s="6">
        <v>34450</v>
      </c>
      <c r="H29" s="7">
        <f>G29/F29*100</f>
        <v>67.721643404757231</v>
      </c>
      <c r="I29" s="8">
        <f>G29/(E29/100000)</f>
        <v>13063.146758481565</v>
      </c>
      <c r="J29" s="1">
        <v>2</v>
      </c>
      <c r="K29" s="9">
        <f>I29/100000</f>
        <v>0.13063146758481564</v>
      </c>
      <c r="L29" s="1">
        <v>0.65100000000000002</v>
      </c>
      <c r="M29" s="10">
        <v>0.26729999999999998</v>
      </c>
      <c r="N29" s="9">
        <f>0.3328+(0.3351*K29)-(0.3324*L29)+(0.333*M29)</f>
        <v>0.2491931047876717</v>
      </c>
    </row>
    <row r="30" spans="1:14" ht="15.75" x14ac:dyDescent="0.25">
      <c r="A30">
        <v>28</v>
      </c>
      <c r="B30" s="4" t="s">
        <v>42</v>
      </c>
      <c r="C30" s="5" t="s">
        <v>44</v>
      </c>
      <c r="D30" s="1">
        <v>4103</v>
      </c>
      <c r="E30" s="6">
        <v>11566</v>
      </c>
      <c r="F30" s="6">
        <v>2103</v>
      </c>
      <c r="G30" s="6">
        <v>1953</v>
      </c>
      <c r="H30" s="7">
        <f>G30/F30*100</f>
        <v>92.867332382310991</v>
      </c>
      <c r="I30" s="8">
        <f>G30/(E30/100000)</f>
        <v>16885.69946394605</v>
      </c>
      <c r="J30" s="1">
        <v>3</v>
      </c>
      <c r="K30" s="9">
        <f>I30/100000</f>
        <v>0.16885699463946049</v>
      </c>
      <c r="L30" s="1">
        <v>0.61799999999999999</v>
      </c>
      <c r="M30" s="10">
        <v>0.60070000000000001</v>
      </c>
      <c r="N30" s="9">
        <f>0.3328+(0.3351*K30)-(0.3324*L30)+(0.333*M30)</f>
        <v>0.38399387890368325</v>
      </c>
    </row>
    <row r="31" spans="1:14" ht="15.75" x14ac:dyDescent="0.25">
      <c r="A31">
        <v>29</v>
      </c>
      <c r="B31" s="4" t="s">
        <v>42</v>
      </c>
      <c r="C31" s="5" t="s">
        <v>45</v>
      </c>
      <c r="D31" s="1">
        <v>4104</v>
      </c>
      <c r="E31" s="6">
        <v>4335</v>
      </c>
      <c r="F31" s="6">
        <v>781</v>
      </c>
      <c r="G31" s="6">
        <v>783</v>
      </c>
      <c r="H31" s="7">
        <f>G31/F31*100</f>
        <v>100.25608194622279</v>
      </c>
      <c r="I31" s="8">
        <f>G31/(E31/100000)</f>
        <v>18062.283737024223</v>
      </c>
      <c r="J31" s="1">
        <v>5</v>
      </c>
      <c r="K31" s="9">
        <f>I31/100000</f>
        <v>0.18062283737024223</v>
      </c>
      <c r="L31" s="1">
        <v>0.52100000000000002</v>
      </c>
      <c r="M31" s="10">
        <v>0.34449999999999997</v>
      </c>
      <c r="N31" s="9">
        <f>0.3328+(0.3351*K31)-(0.3324*L31)+(0.333*M31)</f>
        <v>0.33486481280276814</v>
      </c>
    </row>
    <row r="32" spans="1:14" ht="15.75" x14ac:dyDescent="0.25">
      <c r="A32">
        <v>30</v>
      </c>
      <c r="B32" s="4" t="s">
        <v>42</v>
      </c>
      <c r="C32" s="5" t="s">
        <v>46</v>
      </c>
      <c r="D32" s="1">
        <v>4105</v>
      </c>
      <c r="E32" s="6">
        <v>4649</v>
      </c>
      <c r="F32" s="6">
        <v>765</v>
      </c>
      <c r="G32" s="6">
        <v>810</v>
      </c>
      <c r="H32" s="7">
        <f>G32/F32*100</f>
        <v>105.88235294117648</v>
      </c>
      <c r="I32" s="8">
        <f>G32/(E32/100000)</f>
        <v>17423.101742310177</v>
      </c>
      <c r="J32" s="1">
        <v>4</v>
      </c>
      <c r="K32" s="9">
        <f>I32/100000</f>
        <v>0.17423101742310176</v>
      </c>
      <c r="L32" s="1">
        <v>0.57199999999999995</v>
      </c>
      <c r="M32" s="10">
        <v>0.29389999999999999</v>
      </c>
      <c r="N32" s="9">
        <f>0.3328+(0.3351*K32)-(0.3324*L32)+(0.333*M32)</f>
        <v>0.29892071393848141</v>
      </c>
    </row>
    <row r="33" spans="1:17" ht="15.75" x14ac:dyDescent="0.25">
      <c r="A33">
        <v>31</v>
      </c>
      <c r="B33" s="4" t="s">
        <v>42</v>
      </c>
      <c r="C33" s="5" t="s">
        <v>47</v>
      </c>
      <c r="D33" s="1">
        <v>4106</v>
      </c>
      <c r="E33" s="6">
        <v>28047</v>
      </c>
      <c r="F33" s="6">
        <v>5152</v>
      </c>
      <c r="G33" s="6">
        <v>4384</v>
      </c>
      <c r="H33" s="7">
        <f>G33/F33*100</f>
        <v>85.093167701863365</v>
      </c>
      <c r="I33" s="8">
        <f>G33/(E33/100000)</f>
        <v>15630.905266160375</v>
      </c>
      <c r="J33" s="1">
        <v>4</v>
      </c>
      <c r="K33" s="9">
        <f>I33/100000</f>
        <v>0.15630905266160375</v>
      </c>
      <c r="L33" s="1">
        <v>0.58099999999999996</v>
      </c>
      <c r="M33" s="10">
        <v>0.2626</v>
      </c>
      <c r="N33" s="9">
        <f>0.3328+(0.3351*K33)-(0.3324*L33)+(0.333*M33)</f>
        <v>0.27950056354690345</v>
      </c>
    </row>
    <row r="34" spans="1:17" ht="15.75" x14ac:dyDescent="0.25">
      <c r="A34">
        <v>32</v>
      </c>
      <c r="B34" s="4" t="s">
        <v>42</v>
      </c>
      <c r="C34" s="5" t="s">
        <v>48</v>
      </c>
      <c r="D34" s="1">
        <v>4201</v>
      </c>
      <c r="E34" s="6">
        <v>32009</v>
      </c>
      <c r="F34" s="6">
        <v>5788</v>
      </c>
      <c r="G34" s="6">
        <v>5457</v>
      </c>
      <c r="H34" s="7">
        <f>G34/F34*100</f>
        <v>94.281271596406356</v>
      </c>
      <c r="I34" s="8">
        <f>G34/(E34/100000)</f>
        <v>17048.330157143304</v>
      </c>
      <c r="J34" s="1">
        <v>3</v>
      </c>
      <c r="K34" s="9">
        <f>I34/100000</f>
        <v>0.17048330157143304</v>
      </c>
      <c r="L34" s="1">
        <v>0.63400000000000001</v>
      </c>
      <c r="M34" s="10">
        <v>0.3246</v>
      </c>
      <c r="N34" s="9">
        <f>0.3328+(0.3351*K34)-(0.3324*L34)+(0.333*M34)</f>
        <v>0.28727915435658724</v>
      </c>
    </row>
    <row r="35" spans="1:17" ht="15.75" x14ac:dyDescent="0.25">
      <c r="A35">
        <v>33</v>
      </c>
      <c r="B35" s="4" t="s">
        <v>42</v>
      </c>
      <c r="C35" s="5" t="s">
        <v>49</v>
      </c>
      <c r="D35" s="1">
        <v>4202</v>
      </c>
      <c r="E35" s="6">
        <v>9639</v>
      </c>
      <c r="F35" s="6">
        <v>1455</v>
      </c>
      <c r="G35" s="6">
        <v>2259</v>
      </c>
      <c r="H35" s="7">
        <f>G35/F35*100</f>
        <v>155.25773195876289</v>
      </c>
      <c r="I35" s="8">
        <f>G35/(E35/100000)</f>
        <v>23436.041083099906</v>
      </c>
      <c r="J35" s="1">
        <v>5</v>
      </c>
      <c r="K35" s="9">
        <f>I35/100000</f>
        <v>0.23436041083099907</v>
      </c>
      <c r="L35" s="1">
        <v>0.51600000000000001</v>
      </c>
      <c r="M35" s="10">
        <v>0.5111</v>
      </c>
      <c r="N35" s="9">
        <f>0.3328+(0.3351*K35)-(0.3324*L35)+(0.333*M35)</f>
        <v>0.41001207366946779</v>
      </c>
    </row>
    <row r="36" spans="1:17" ht="15.75" x14ac:dyDescent="0.25">
      <c r="A36">
        <v>34</v>
      </c>
      <c r="B36" s="4" t="s">
        <v>42</v>
      </c>
      <c r="C36" s="5" t="s">
        <v>50</v>
      </c>
      <c r="D36" s="1">
        <v>4203</v>
      </c>
      <c r="E36" s="6">
        <v>22879</v>
      </c>
      <c r="F36" s="6">
        <v>4400</v>
      </c>
      <c r="G36" s="6">
        <v>3684</v>
      </c>
      <c r="H36" s="7">
        <f>G36/F36*100</f>
        <v>83.727272727272734</v>
      </c>
      <c r="I36" s="8">
        <f>G36/(E36/100000)</f>
        <v>16102.102364613838</v>
      </c>
      <c r="J36" s="1">
        <v>4</v>
      </c>
      <c r="K36" s="9">
        <f>I36/100000</f>
        <v>0.16102102364613838</v>
      </c>
      <c r="L36" s="1">
        <v>0.55900000000000005</v>
      </c>
      <c r="M36" s="10">
        <v>0.2213</v>
      </c>
      <c r="N36" s="9">
        <f>0.3328+(0.3351*K36)-(0.3324*L36)+(0.333*M36)</f>
        <v>0.27463944502382098</v>
      </c>
      <c r="Q36">
        <v>35</v>
      </c>
    </row>
    <row r="37" spans="1:17" ht="15.75" x14ac:dyDescent="0.25">
      <c r="A37">
        <v>35</v>
      </c>
      <c r="B37" s="4" t="s">
        <v>42</v>
      </c>
      <c r="C37" s="5" t="s">
        <v>51</v>
      </c>
      <c r="D37" s="1">
        <v>4204</v>
      </c>
      <c r="E37" s="6">
        <v>27823</v>
      </c>
      <c r="F37" s="6">
        <v>5127</v>
      </c>
      <c r="G37" s="6">
        <v>4440</v>
      </c>
      <c r="H37" s="7">
        <f>G37/F37*100</f>
        <v>86.600351082504389</v>
      </c>
      <c r="I37" s="8">
        <f>G37/(E37/100000)</f>
        <v>15958.020342881789</v>
      </c>
      <c r="J37" s="1">
        <v>5</v>
      </c>
      <c r="K37" s="9">
        <f>I37/100000</f>
        <v>0.1595802034288179</v>
      </c>
      <c r="L37" s="1">
        <v>0.64900000000000002</v>
      </c>
      <c r="M37" s="10">
        <v>0.61470000000000002</v>
      </c>
      <c r="N37" s="9">
        <f>0.3328+(0.3351*K37)-(0.3324*L37)+(0.333*M37)</f>
        <v>0.37524282616899685</v>
      </c>
    </row>
    <row r="38" spans="1:17" ht="15.75" x14ac:dyDescent="0.25">
      <c r="A38">
        <v>36</v>
      </c>
      <c r="B38" s="4" t="s">
        <v>42</v>
      </c>
      <c r="C38" s="5" t="s">
        <v>52</v>
      </c>
      <c r="D38" s="1">
        <v>4301</v>
      </c>
      <c r="E38" s="6">
        <v>118696</v>
      </c>
      <c r="F38" s="6">
        <v>22295</v>
      </c>
      <c r="G38" s="6">
        <v>17357</v>
      </c>
      <c r="H38" s="7">
        <f>G38/F38*100</f>
        <v>77.851536218883155</v>
      </c>
      <c r="I38" s="8">
        <f>G38/(E38/100000)</f>
        <v>14623.070701624318</v>
      </c>
      <c r="J38" s="1">
        <v>3</v>
      </c>
      <c r="K38" s="9">
        <f>I38/100000</f>
        <v>0.14623070701624319</v>
      </c>
      <c r="L38" s="1">
        <v>0.59699999999999998</v>
      </c>
      <c r="M38" s="10">
        <v>0.19089999999999999</v>
      </c>
      <c r="N38" s="9">
        <f>0.3328+(0.3351*K38)-(0.3324*L38)+(0.333*M38)</f>
        <v>0.24692880992114313</v>
      </c>
    </row>
    <row r="39" spans="1:17" ht="15.75" x14ac:dyDescent="0.25">
      <c r="A39">
        <v>37</v>
      </c>
      <c r="B39" s="4" t="s">
        <v>42</v>
      </c>
      <c r="C39" s="5" t="s">
        <v>53</v>
      </c>
      <c r="D39" s="1">
        <v>4302</v>
      </c>
      <c r="E39" s="6">
        <v>12954</v>
      </c>
      <c r="F39" s="6">
        <v>1967</v>
      </c>
      <c r="G39" s="6">
        <v>2918</v>
      </c>
      <c r="H39" s="7">
        <f>G39/F39*100</f>
        <v>148.34773767158109</v>
      </c>
      <c r="I39" s="8">
        <f>G39/(E39/100000)</f>
        <v>22525.860737995987</v>
      </c>
      <c r="J39" s="1">
        <v>5</v>
      </c>
      <c r="K39" s="9">
        <f>I39/100000</f>
        <v>0.22525860737995987</v>
      </c>
      <c r="L39" s="1">
        <v>0.56100000000000005</v>
      </c>
      <c r="M39" s="10">
        <v>0.34260000000000002</v>
      </c>
      <c r="N39" s="9">
        <f>0.3328+(0.3351*K39)-(0.3324*L39)+(0.333*M39)</f>
        <v>0.33589355933302456</v>
      </c>
    </row>
    <row r="40" spans="1:17" ht="15.75" x14ac:dyDescent="0.25">
      <c r="A40">
        <v>38</v>
      </c>
      <c r="B40" s="4" t="s">
        <v>42</v>
      </c>
      <c r="C40" s="5" t="s">
        <v>54</v>
      </c>
      <c r="D40" s="1">
        <v>4303</v>
      </c>
      <c r="E40" s="6">
        <v>29997</v>
      </c>
      <c r="F40" s="6">
        <v>5450</v>
      </c>
      <c r="G40" s="6">
        <v>5041</v>
      </c>
      <c r="H40" s="7">
        <f>G40/F40*100</f>
        <v>92.495412844036693</v>
      </c>
      <c r="I40" s="8">
        <f>G40/(E40/100000)</f>
        <v>16805.013834716803</v>
      </c>
      <c r="J40" s="1">
        <v>5</v>
      </c>
      <c r="K40" s="9">
        <f>I40/100000</f>
        <v>0.16805013834716803</v>
      </c>
      <c r="L40" s="1">
        <v>0.53300000000000003</v>
      </c>
      <c r="M40" s="10">
        <v>0.26860000000000001</v>
      </c>
      <c r="N40" s="9">
        <f>0.3328+(0.3351*K40)-(0.3324*L40)+(0.333*M40)</f>
        <v>0.301388201360136</v>
      </c>
    </row>
    <row r="41" spans="1:17" ht="15.75" x14ac:dyDescent="0.25">
      <c r="A41">
        <v>39</v>
      </c>
      <c r="B41" s="4" t="s">
        <v>42</v>
      </c>
      <c r="C41" s="5" t="s">
        <v>55</v>
      </c>
      <c r="D41" s="1">
        <v>4304</v>
      </c>
      <c r="E41" s="6">
        <v>12076</v>
      </c>
      <c r="F41" s="6">
        <v>2270</v>
      </c>
      <c r="G41" s="6">
        <v>2129</v>
      </c>
      <c r="H41" s="7">
        <f>G41/F41*100</f>
        <v>93.788546255506617</v>
      </c>
      <c r="I41" s="8">
        <f>G41/(E41/100000)</f>
        <v>17630.009937065253</v>
      </c>
      <c r="J41" s="1">
        <v>5</v>
      </c>
      <c r="K41" s="9">
        <f>I41/100000</f>
        <v>0.17630009937065252</v>
      </c>
      <c r="L41" s="1">
        <v>0.57099999999999995</v>
      </c>
      <c r="M41" s="10">
        <v>0.62630000000000008</v>
      </c>
      <c r="N41" s="9">
        <f>0.3328+(0.3351*K41)-(0.3324*L41)+(0.333*M41)</f>
        <v>0.41063566329910572</v>
      </c>
    </row>
    <row r="42" spans="1:17" ht="15.75" x14ac:dyDescent="0.25">
      <c r="A42">
        <v>40</v>
      </c>
      <c r="B42" s="4" t="s">
        <v>42</v>
      </c>
      <c r="C42" s="5" t="s">
        <v>56</v>
      </c>
      <c r="D42" s="1">
        <v>4305</v>
      </c>
      <c r="E42" s="6">
        <v>4334</v>
      </c>
      <c r="F42" s="6">
        <v>601</v>
      </c>
      <c r="G42" s="6">
        <v>1044</v>
      </c>
      <c r="H42" s="7">
        <f>G42/F42*100</f>
        <v>173.71048252911814</v>
      </c>
      <c r="I42" s="8">
        <f>G42/(E42/100000)</f>
        <v>24088.601753576375</v>
      </c>
      <c r="J42" s="1">
        <v>5</v>
      </c>
      <c r="K42" s="9">
        <f>I42/100000</f>
        <v>0.24088601753576375</v>
      </c>
      <c r="L42" s="1">
        <v>0.59599999999999997</v>
      </c>
      <c r="M42" s="10">
        <v>0.58950000000000002</v>
      </c>
      <c r="N42" s="9">
        <f>0.3328+(0.3351*K42)-(0.3324*L42)+(0.333*M42)</f>
        <v>0.41171400447623446</v>
      </c>
    </row>
    <row r="43" spans="1:17" ht="15.75" x14ac:dyDescent="0.25">
      <c r="A43">
        <v>41</v>
      </c>
      <c r="B43" s="4" t="s">
        <v>57</v>
      </c>
      <c r="C43" s="5" t="s">
        <v>57</v>
      </c>
      <c r="D43" s="1">
        <v>5101</v>
      </c>
      <c r="E43" s="6">
        <v>284938</v>
      </c>
      <c r="F43" s="6">
        <v>44277</v>
      </c>
      <c r="G43" s="6">
        <v>46538</v>
      </c>
      <c r="H43" s="7">
        <f>G43/F43*100</f>
        <v>105.10648869616278</v>
      </c>
      <c r="I43" s="8">
        <f>G43/(E43/100000)</f>
        <v>16332.675880366956</v>
      </c>
      <c r="J43" s="1">
        <v>1</v>
      </c>
      <c r="K43" s="9">
        <f>I43/100000</f>
        <v>0.16332675880366956</v>
      </c>
      <c r="L43" s="1">
        <v>0.625</v>
      </c>
      <c r="M43" s="10">
        <v>0.22459999999999999</v>
      </c>
      <c r="N43" s="9">
        <f>0.3328+(0.3351*K43)-(0.3324*L43)+(0.333*M43)</f>
        <v>0.25457259687510969</v>
      </c>
    </row>
    <row r="44" spans="1:17" ht="15.75" x14ac:dyDescent="0.25">
      <c r="A44">
        <v>42</v>
      </c>
      <c r="B44" s="4" t="s">
        <v>57</v>
      </c>
      <c r="C44" s="5" t="s">
        <v>58</v>
      </c>
      <c r="D44" s="1">
        <v>5102</v>
      </c>
      <c r="E44" s="6">
        <v>29876</v>
      </c>
      <c r="F44" s="6">
        <v>5399</v>
      </c>
      <c r="G44" s="6">
        <v>4412</v>
      </c>
      <c r="H44" s="7">
        <f>G44/F44*100</f>
        <v>81.71883682163363</v>
      </c>
      <c r="I44" s="8">
        <f>G44/(E44/100000)</f>
        <v>14767.706520283838</v>
      </c>
      <c r="J44" s="1">
        <v>4</v>
      </c>
      <c r="K44" s="9">
        <f>I44/100000</f>
        <v>0.14767706520283838</v>
      </c>
      <c r="L44" s="1">
        <v>0.625</v>
      </c>
      <c r="M44" s="10">
        <v>0.27760000000000001</v>
      </c>
      <c r="N44" s="9">
        <f>0.3328+(0.3351*K44)-(0.3324*L44)+(0.333*M44)</f>
        <v>0.26697738454947112</v>
      </c>
    </row>
    <row r="45" spans="1:17" ht="15.75" x14ac:dyDescent="0.25">
      <c r="A45">
        <v>43</v>
      </c>
      <c r="B45" s="4" t="s">
        <v>57</v>
      </c>
      <c r="C45" s="5" t="s">
        <v>59</v>
      </c>
      <c r="D45" s="1">
        <v>5103</v>
      </c>
      <c r="E45" s="6">
        <v>48294</v>
      </c>
      <c r="F45" s="6">
        <v>7853</v>
      </c>
      <c r="G45" s="6">
        <v>7370</v>
      </c>
      <c r="H45" s="7">
        <f>G45/F45*100</f>
        <v>93.849484273526045</v>
      </c>
      <c r="I45" s="8">
        <f>G45/(E45/100000)</f>
        <v>15260.69491034083</v>
      </c>
      <c r="J45" s="1">
        <v>2</v>
      </c>
      <c r="K45" s="9">
        <f>I45/100000</f>
        <v>0.1526069491034083</v>
      </c>
      <c r="L45" s="1">
        <v>0.76900000000000002</v>
      </c>
      <c r="M45" s="10">
        <v>0.41389999999999999</v>
      </c>
      <c r="N45" s="9">
        <f>0.3328+(0.3351*K45)-(0.3324*L45)+(0.333*M45)</f>
        <v>0.26615168864455208</v>
      </c>
    </row>
    <row r="46" spans="1:17" ht="15.75" x14ac:dyDescent="0.25">
      <c r="A46">
        <v>44</v>
      </c>
      <c r="B46" s="4" t="s">
        <v>57</v>
      </c>
      <c r="C46" s="5" t="s">
        <v>60</v>
      </c>
      <c r="D46" s="1">
        <v>5104</v>
      </c>
      <c r="E46" s="6">
        <v>904</v>
      </c>
      <c r="F46" s="6">
        <v>189</v>
      </c>
      <c r="G46" s="6">
        <v>126</v>
      </c>
      <c r="H46" s="7">
        <f>G46/F46*100</f>
        <v>66.666666666666657</v>
      </c>
      <c r="I46" s="8">
        <f>G46/(E46/100000)</f>
        <v>13938.053097345133</v>
      </c>
      <c r="J46" s="1">
        <v>5</v>
      </c>
      <c r="K46" s="9">
        <f>I46/100000</f>
        <v>0.13938053097345132</v>
      </c>
      <c r="L46" s="1">
        <v>0.69</v>
      </c>
      <c r="M46" s="10">
        <v>0.183</v>
      </c>
      <c r="N46" s="9">
        <f>0.3328+(0.3351*K46)-(0.3324*L46)+(0.333*M46)</f>
        <v>0.21108941592920355</v>
      </c>
    </row>
    <row r="47" spans="1:17" ht="15.75" x14ac:dyDescent="0.25">
      <c r="A47">
        <v>45</v>
      </c>
      <c r="B47" s="4" t="s">
        <v>57</v>
      </c>
      <c r="C47" s="5" t="s">
        <v>61</v>
      </c>
      <c r="D47" s="1">
        <v>5105</v>
      </c>
      <c r="E47" s="6">
        <v>22539</v>
      </c>
      <c r="F47" s="6">
        <v>3943</v>
      </c>
      <c r="G47" s="6">
        <v>4078</v>
      </c>
      <c r="H47" s="7">
        <f>G47/F47*100</f>
        <v>103.42378899315243</v>
      </c>
      <c r="I47" s="8">
        <f>G47/(E47/100000)</f>
        <v>18093.083100403743</v>
      </c>
      <c r="J47" s="1">
        <v>4</v>
      </c>
      <c r="K47" s="9">
        <f>I47/100000</f>
        <v>0.18093083100403742</v>
      </c>
      <c r="L47" s="1">
        <v>0.60599999999999998</v>
      </c>
      <c r="M47" s="10">
        <v>0.19750000000000001</v>
      </c>
      <c r="N47" s="9">
        <f>0.3328+(0.3351*K47)-(0.3324*L47)+(0.333*M46)</f>
        <v>0.25293452146945294</v>
      </c>
    </row>
    <row r="48" spans="1:17" ht="15.75" x14ac:dyDescent="0.25">
      <c r="A48">
        <v>46</v>
      </c>
      <c r="B48" s="4" t="s">
        <v>57</v>
      </c>
      <c r="C48" s="5" t="s">
        <v>62</v>
      </c>
      <c r="D48" s="1">
        <v>5107</v>
      </c>
      <c r="E48" s="6">
        <v>35754</v>
      </c>
      <c r="F48" s="6">
        <v>6672</v>
      </c>
      <c r="G48" s="6">
        <v>5823</v>
      </c>
      <c r="H48" s="7">
        <f>G48/F48*100</f>
        <v>87.275179856115102</v>
      </c>
      <c r="I48" s="8">
        <f>G48/(E48/100000)</f>
        <v>16286.289645913743</v>
      </c>
      <c r="J48" s="1">
        <v>3</v>
      </c>
      <c r="K48" s="9">
        <f>I48/100000</f>
        <v>0.16286289645913743</v>
      </c>
      <c r="L48" s="1">
        <v>0.60499999999999998</v>
      </c>
      <c r="M48" s="10">
        <v>0.124</v>
      </c>
      <c r="N48" s="9">
        <f>0.3328+(0.3351*K48)-(0.3324*L48)+(0.333*M48)</f>
        <v>0.22756535660345698</v>
      </c>
    </row>
    <row r="49" spans="1:14" ht="15.75" x14ac:dyDescent="0.25">
      <c r="A49">
        <v>47</v>
      </c>
      <c r="B49" s="4" t="s">
        <v>57</v>
      </c>
      <c r="C49" s="5" t="s">
        <v>63</v>
      </c>
      <c r="D49" s="1">
        <v>5109</v>
      </c>
      <c r="E49" s="6">
        <v>334871</v>
      </c>
      <c r="F49" s="6">
        <v>49154</v>
      </c>
      <c r="G49" s="6">
        <v>59387</v>
      </c>
      <c r="H49" s="7">
        <f>G49/F49*100</f>
        <v>120.81824470032959</v>
      </c>
      <c r="I49" s="8">
        <f>G49/(E49/100000)</f>
        <v>17734.291712331018</v>
      </c>
      <c r="J49" s="1">
        <v>1</v>
      </c>
      <c r="K49" s="9">
        <f>I49/100000</f>
        <v>0.17734291712331018</v>
      </c>
      <c r="L49" s="1">
        <v>0.60599999999999998</v>
      </c>
      <c r="M49" s="10">
        <v>0.18859999999999999</v>
      </c>
      <c r="N49" s="9">
        <f>0.3328+(0.3351*K49)-(0.3324*L49)+(0.333*M48)</f>
        <v>0.23208521152802122</v>
      </c>
    </row>
    <row r="50" spans="1:14" ht="15.75" x14ac:dyDescent="0.25">
      <c r="A50">
        <v>48</v>
      </c>
      <c r="B50" s="4" t="s">
        <v>57</v>
      </c>
      <c r="C50" s="5" t="s">
        <v>64</v>
      </c>
      <c r="D50" s="1">
        <v>5201</v>
      </c>
      <c r="E50" s="6">
        <v>4800</v>
      </c>
      <c r="F50" s="6">
        <v>1033</v>
      </c>
      <c r="G50" s="6">
        <v>405</v>
      </c>
      <c r="H50" s="7">
        <f>G50/F50*100</f>
        <v>39.206195546950632</v>
      </c>
      <c r="I50" s="8">
        <f>G50/(E50/100000)</f>
        <v>8437.5</v>
      </c>
      <c r="J50" s="1">
        <v>5</v>
      </c>
      <c r="K50" s="9">
        <f>I50/100000</f>
        <v>8.4375000000000006E-2</v>
      </c>
      <c r="L50" s="1">
        <v>0.67400000000000004</v>
      </c>
      <c r="M50" s="10">
        <v>0.51819999999999999</v>
      </c>
      <c r="N50" s="9">
        <f>0.3328+(0.3351*K50)-(0.3324*L50)+(0.333*M49)</f>
        <v>0.19984026249999998</v>
      </c>
    </row>
    <row r="51" spans="1:14" ht="15.75" x14ac:dyDescent="0.25">
      <c r="A51">
        <v>49</v>
      </c>
      <c r="B51" s="4" t="s">
        <v>57</v>
      </c>
      <c r="C51" s="5" t="s">
        <v>65</v>
      </c>
      <c r="D51" s="1">
        <v>5301</v>
      </c>
      <c r="E51" s="6">
        <v>63440</v>
      </c>
      <c r="F51" s="6">
        <v>11610</v>
      </c>
      <c r="G51" s="6">
        <v>9761</v>
      </c>
      <c r="H51" s="7">
        <f>G51/F51*100</f>
        <v>84.074074074074076</v>
      </c>
      <c r="I51" s="8">
        <f>G51/(E51/100000)</f>
        <v>15386.191677175284</v>
      </c>
      <c r="J51" s="1">
        <v>3</v>
      </c>
      <c r="K51" s="9">
        <f>I51/100000</f>
        <v>0.15386191677175284</v>
      </c>
      <c r="L51" s="1">
        <v>0.67500000000000004</v>
      </c>
      <c r="M51" s="10">
        <v>8.6500000000000007E-2</v>
      </c>
      <c r="N51" s="9">
        <f>0.3328+(0.3351*K51)-(0.3324*L51)+(0.333*M50)</f>
        <v>0.33254972831021434</v>
      </c>
    </row>
    <row r="52" spans="1:14" ht="15.75" x14ac:dyDescent="0.25">
      <c r="A52">
        <v>50</v>
      </c>
      <c r="B52" s="4" t="s">
        <v>57</v>
      </c>
      <c r="C52" s="5" t="s">
        <v>66</v>
      </c>
      <c r="D52" s="1">
        <v>5302</v>
      </c>
      <c r="E52" s="6">
        <v>16597</v>
      </c>
      <c r="F52" s="6">
        <v>3392</v>
      </c>
      <c r="G52" s="6">
        <v>2195</v>
      </c>
      <c r="H52" s="7">
        <f>G52/F52*100</f>
        <v>64.711084905660371</v>
      </c>
      <c r="I52" s="8">
        <f>G52/(E52/100000)</f>
        <v>13225.28167741158</v>
      </c>
      <c r="J52" s="1">
        <v>4</v>
      </c>
      <c r="K52" s="9">
        <f>I52/100000</f>
        <v>0.13225281677411579</v>
      </c>
      <c r="L52" s="1">
        <v>0.64100000000000001</v>
      </c>
      <c r="M52" s="10">
        <v>0.16470000000000001</v>
      </c>
      <c r="N52" s="9">
        <f>0.3328+(0.3351*K52)-(0.3324*L52)+(0.333*M51)</f>
        <v>0.19285401890100623</v>
      </c>
    </row>
    <row r="53" spans="1:14" ht="15.75" x14ac:dyDescent="0.25">
      <c r="A53">
        <v>51</v>
      </c>
      <c r="B53" s="4" t="s">
        <v>57</v>
      </c>
      <c r="C53" s="5" t="s">
        <v>67</v>
      </c>
      <c r="D53" s="1">
        <v>5303</v>
      </c>
      <c r="E53" s="6">
        <v>11855</v>
      </c>
      <c r="F53" s="6">
        <v>2499</v>
      </c>
      <c r="G53" s="6">
        <v>1574</v>
      </c>
      <c r="H53" s="7">
        <f>G53/F53*100</f>
        <v>62.985194077631057</v>
      </c>
      <c r="I53" s="8">
        <f>G53/(E53/100000)</f>
        <v>13277.098270771827</v>
      </c>
      <c r="J53" s="1">
        <v>3</v>
      </c>
      <c r="K53" s="9">
        <f>I53/100000</f>
        <v>0.13277098270771825</v>
      </c>
      <c r="L53" s="1">
        <v>0.68100000000000005</v>
      </c>
      <c r="M53" s="10">
        <v>0.38169999999999998</v>
      </c>
      <c r="N53" s="9">
        <f>0.3328+(0.3351*K53)-(0.3324*L53)+(0.333*M52)</f>
        <v>0.20577225630535639</v>
      </c>
    </row>
    <row r="54" spans="1:14" ht="15.75" x14ac:dyDescent="0.25">
      <c r="A54">
        <v>52</v>
      </c>
      <c r="B54" s="4" t="s">
        <v>57</v>
      </c>
      <c r="C54" s="5" t="s">
        <v>68</v>
      </c>
      <c r="D54" s="1">
        <v>5304</v>
      </c>
      <c r="E54" s="6">
        <v>20112</v>
      </c>
      <c r="F54" s="6">
        <v>3826</v>
      </c>
      <c r="G54" s="6">
        <v>2884</v>
      </c>
      <c r="H54" s="7">
        <f>G54/F54*100</f>
        <v>75.378985886042855</v>
      </c>
      <c r="I54" s="8">
        <f>G54/(E54/100000)</f>
        <v>14339.69769291965</v>
      </c>
      <c r="J54" s="1">
        <v>4</v>
      </c>
      <c r="K54" s="9">
        <f>I54/100000</f>
        <v>0.14339697692919651</v>
      </c>
      <c r="L54" s="1">
        <v>0.66</v>
      </c>
      <c r="M54" s="10">
        <v>0.2636</v>
      </c>
      <c r="N54" s="9">
        <f>0.3328+(0.3351*K54)-(0.3324*L54)+(0.333*M53)</f>
        <v>0.28857442696897373</v>
      </c>
    </row>
    <row r="55" spans="1:14" ht="15.75" x14ac:dyDescent="0.25">
      <c r="A55">
        <v>53</v>
      </c>
      <c r="B55" s="4" t="s">
        <v>57</v>
      </c>
      <c r="C55" s="5" t="s">
        <v>69</v>
      </c>
      <c r="D55" s="1">
        <v>5401</v>
      </c>
      <c r="E55" s="6">
        <v>39270</v>
      </c>
      <c r="F55" s="6">
        <v>6808</v>
      </c>
      <c r="G55" s="6">
        <v>6566</v>
      </c>
      <c r="H55" s="7">
        <f>G55/F55*100</f>
        <v>96.445358401880142</v>
      </c>
      <c r="I55" s="8">
        <f>G55/(E55/100000)</f>
        <v>16720.142602495544</v>
      </c>
      <c r="J55" s="1">
        <v>4</v>
      </c>
      <c r="K55" s="9">
        <f>I55/100000</f>
        <v>0.16720142602495544</v>
      </c>
      <c r="L55" s="1">
        <v>0.56999999999999995</v>
      </c>
      <c r="M55" s="10">
        <v>0.2145</v>
      </c>
      <c r="N55" s="9">
        <f>0.3328+(0.3351*K55)-(0.3324*L55)+(0.333*M54)</f>
        <v>0.28713999786096256</v>
      </c>
    </row>
    <row r="56" spans="1:14" ht="15.75" x14ac:dyDescent="0.25">
      <c r="A56">
        <v>54</v>
      </c>
      <c r="B56" s="4" t="s">
        <v>57</v>
      </c>
      <c r="C56" s="5" t="s">
        <v>70</v>
      </c>
      <c r="D56" s="1">
        <v>5402</v>
      </c>
      <c r="E56" s="6">
        <v>20015</v>
      </c>
      <c r="F56" s="6">
        <v>3629</v>
      </c>
      <c r="G56" s="6">
        <v>3200</v>
      </c>
      <c r="H56" s="7">
        <f>G56/F56*100</f>
        <v>88.178561587214105</v>
      </c>
      <c r="I56" s="8">
        <f>G56/(E56/100000)</f>
        <v>15988.00899325506</v>
      </c>
      <c r="J56" s="1">
        <v>4</v>
      </c>
      <c r="K56" s="9">
        <f>I56/100000</f>
        <v>0.1598800899325506</v>
      </c>
      <c r="L56" s="1">
        <v>0.6</v>
      </c>
      <c r="M56" s="10">
        <v>0.57030000000000003</v>
      </c>
      <c r="N56" s="9">
        <f>0.3328+(0.3351*K56)-(0.3324*L56)+(0.333*M55)</f>
        <v>0.25836431813639771</v>
      </c>
    </row>
    <row r="57" spans="1:14" ht="15.75" x14ac:dyDescent="0.25">
      <c r="A57">
        <v>55</v>
      </c>
      <c r="B57" s="4" t="s">
        <v>57</v>
      </c>
      <c r="C57" s="5" t="s">
        <v>71</v>
      </c>
      <c r="D57" s="1">
        <v>5403</v>
      </c>
      <c r="E57" s="6">
        <v>7561</v>
      </c>
      <c r="F57" s="6">
        <v>1334</v>
      </c>
      <c r="G57" s="6">
        <v>1324</v>
      </c>
      <c r="H57" s="7">
        <f>G57/F57*100</f>
        <v>99.250374812593705</v>
      </c>
      <c r="I57" s="8">
        <f>G57/(E57/100000)</f>
        <v>17510.911255124985</v>
      </c>
      <c r="J57" s="1">
        <v>4</v>
      </c>
      <c r="K57" s="9">
        <f>I57/100000</f>
        <v>0.17510911255124986</v>
      </c>
      <c r="L57" s="1">
        <v>0.63700000000000001</v>
      </c>
      <c r="M57" s="10">
        <v>0.16339999999999999</v>
      </c>
      <c r="N57" s="9">
        <f>0.3328+(0.3351*K57)-(0.3324*L57)+(0.333*M56)</f>
        <v>0.36965016361592384</v>
      </c>
    </row>
    <row r="58" spans="1:14" ht="15.75" x14ac:dyDescent="0.25">
      <c r="A58">
        <v>56</v>
      </c>
      <c r="B58" s="4" t="s">
        <v>57</v>
      </c>
      <c r="C58" s="5" t="s">
        <v>72</v>
      </c>
      <c r="D58" s="1">
        <v>5404</v>
      </c>
      <c r="E58" s="6">
        <v>10206</v>
      </c>
      <c r="F58" s="6">
        <v>1656</v>
      </c>
      <c r="G58" s="6">
        <v>1846</v>
      </c>
      <c r="H58" s="7">
        <f>G58/F58*100</f>
        <v>111.47342995169083</v>
      </c>
      <c r="I58" s="8">
        <f>G58/(E58/100000)</f>
        <v>18087.39956888105</v>
      </c>
      <c r="J58" s="1">
        <v>5</v>
      </c>
      <c r="K58" s="9">
        <f>I58/100000</f>
        <v>0.18087399568881049</v>
      </c>
      <c r="L58" s="1">
        <v>0.56599999999999995</v>
      </c>
      <c r="M58" s="10">
        <v>0.38669999999999999</v>
      </c>
      <c r="N58" s="9">
        <f>0.3328+(0.3351*K58)-(0.3324*L58)+(0.333*M57)</f>
        <v>0.25968467595532041</v>
      </c>
    </row>
    <row r="59" spans="1:14" ht="15.75" x14ac:dyDescent="0.25">
      <c r="A59">
        <v>57</v>
      </c>
      <c r="B59" s="4" t="s">
        <v>57</v>
      </c>
      <c r="C59" s="5" t="s">
        <v>73</v>
      </c>
      <c r="D59" s="1">
        <v>5405</v>
      </c>
      <c r="E59" s="6">
        <v>7980</v>
      </c>
      <c r="F59" s="6">
        <v>1501</v>
      </c>
      <c r="G59" s="6">
        <v>1473</v>
      </c>
      <c r="H59" s="7">
        <f>G59/F59*100</f>
        <v>98.134576948700868</v>
      </c>
      <c r="I59" s="8">
        <f>G59/(E59/100000)</f>
        <v>18458.646616541355</v>
      </c>
      <c r="J59" s="1">
        <v>4</v>
      </c>
      <c r="K59" s="9">
        <f>I59/100000</f>
        <v>0.18458646616541355</v>
      </c>
      <c r="L59" s="1">
        <v>0.69499999999999995</v>
      </c>
      <c r="M59" s="10">
        <v>0.1326</v>
      </c>
      <c r="N59" s="9">
        <f>0.3328+(0.3351*K59)-(0.3324*L59)+(0.333*M58)</f>
        <v>0.2924080248120301</v>
      </c>
    </row>
    <row r="60" spans="1:14" ht="15.75" x14ac:dyDescent="0.25">
      <c r="A60">
        <v>58</v>
      </c>
      <c r="B60" s="4" t="s">
        <v>57</v>
      </c>
      <c r="C60" s="5" t="s">
        <v>74</v>
      </c>
      <c r="D60" s="1">
        <v>5501</v>
      </c>
      <c r="E60" s="6">
        <v>96753</v>
      </c>
      <c r="F60" s="6">
        <v>17090</v>
      </c>
      <c r="G60" s="6">
        <v>15393</v>
      </c>
      <c r="H60" s="7">
        <f>G60/F60*100</f>
        <v>90.070216500877706</v>
      </c>
      <c r="I60" s="8">
        <f>G60/(E60/100000)</f>
        <v>15909.584198939569</v>
      </c>
      <c r="J60" s="1">
        <v>2</v>
      </c>
      <c r="K60" s="9">
        <f>I60/100000</f>
        <v>0.15909584198939569</v>
      </c>
      <c r="L60" s="1">
        <v>0.626</v>
      </c>
      <c r="M60" s="10">
        <v>0.14069999999999999</v>
      </c>
      <c r="N60" s="9">
        <f>0.3328+(0.3351*K60)-(0.3324*L60)+(0.333*M59)</f>
        <v>0.22218641665064648</v>
      </c>
    </row>
    <row r="61" spans="1:14" ht="15.75" x14ac:dyDescent="0.25">
      <c r="A61">
        <v>59</v>
      </c>
      <c r="B61" s="4" t="s">
        <v>57</v>
      </c>
      <c r="C61" s="5" t="s">
        <v>75</v>
      </c>
      <c r="D61" s="1">
        <v>5502</v>
      </c>
      <c r="E61" s="6">
        <v>50631</v>
      </c>
      <c r="F61" s="6">
        <v>9069</v>
      </c>
      <c r="G61" s="6">
        <v>8126</v>
      </c>
      <c r="H61" s="7">
        <f>G61/F61*100</f>
        <v>89.601940677031649</v>
      </c>
      <c r="I61" s="8">
        <f>G61/(E61/100000)</f>
        <v>16049.455866958977</v>
      </c>
      <c r="J61" s="1">
        <v>2</v>
      </c>
      <c r="K61" s="9">
        <f>I61/100000</f>
        <v>0.16049455866958978</v>
      </c>
      <c r="L61" s="1">
        <v>0.59499999999999997</v>
      </c>
      <c r="M61" s="10">
        <v>0.27539999999999998</v>
      </c>
      <c r="N61" s="9">
        <f>0.3328+(0.3351*K61)-(0.3324*L61)+(0.333*M60)</f>
        <v>0.23565682661017956</v>
      </c>
    </row>
    <row r="62" spans="1:14" ht="15.75" x14ac:dyDescent="0.25">
      <c r="A62">
        <v>60</v>
      </c>
      <c r="B62" s="4" t="s">
        <v>57</v>
      </c>
      <c r="C62" s="5" t="s">
        <v>76</v>
      </c>
      <c r="D62" s="1">
        <v>5503</v>
      </c>
      <c r="E62" s="6">
        <v>19286</v>
      </c>
      <c r="F62" s="6">
        <v>3588</v>
      </c>
      <c r="G62" s="6">
        <v>2750</v>
      </c>
      <c r="H62" s="7">
        <f>G62/F62*100</f>
        <v>76.644370122630988</v>
      </c>
      <c r="I62" s="8">
        <f>G62/(E62/100000)</f>
        <v>14259.048014103495</v>
      </c>
      <c r="J62" s="1">
        <v>3</v>
      </c>
      <c r="K62" s="9">
        <f>I62/100000</f>
        <v>0.14259048014103495</v>
      </c>
      <c r="L62" s="1">
        <v>0.59199999999999997</v>
      </c>
      <c r="M62" s="10">
        <v>0.45490000000000003</v>
      </c>
      <c r="N62" s="9">
        <f>0.3328+(0.3351*K62)-(0.3324*L62)+(0.333*M61)</f>
        <v>0.27550946989526082</v>
      </c>
    </row>
    <row r="63" spans="1:14" ht="15.75" x14ac:dyDescent="0.25">
      <c r="A63">
        <v>61</v>
      </c>
      <c r="B63" s="4" t="s">
        <v>57</v>
      </c>
      <c r="C63" s="5" t="s">
        <v>77</v>
      </c>
      <c r="D63" s="1">
        <v>5504</v>
      </c>
      <c r="E63" s="6">
        <v>24939</v>
      </c>
      <c r="F63" s="6">
        <v>5036</v>
      </c>
      <c r="G63" s="6">
        <v>3056</v>
      </c>
      <c r="H63" s="7">
        <f>G63/F63*100</f>
        <v>60.683081810961085</v>
      </c>
      <c r="I63" s="8">
        <f>G63/(E63/100000)</f>
        <v>12253.899514816152</v>
      </c>
      <c r="J63" s="1">
        <v>2</v>
      </c>
      <c r="K63" s="9">
        <f>I63/100000</f>
        <v>0.12253899514816152</v>
      </c>
      <c r="L63" s="1">
        <v>0.71499999999999997</v>
      </c>
      <c r="M63" s="10">
        <v>0.30299999999999999</v>
      </c>
      <c r="N63" s="9">
        <f>0.3328+(0.3351*K63)-(0.3324*L63)+(0.333*M62)</f>
        <v>0.287678517274149</v>
      </c>
    </row>
    <row r="64" spans="1:14" ht="15.75" x14ac:dyDescent="0.25">
      <c r="A64">
        <v>62</v>
      </c>
      <c r="B64" s="4" t="s">
        <v>57</v>
      </c>
      <c r="C64" s="5" t="s">
        <v>78</v>
      </c>
      <c r="D64" s="1">
        <v>5506</v>
      </c>
      <c r="E64" s="6">
        <v>22136</v>
      </c>
      <c r="F64" s="6">
        <v>3843</v>
      </c>
      <c r="G64" s="6">
        <v>3741</v>
      </c>
      <c r="H64" s="7">
        <f>G64/F64*100</f>
        <v>97.345823575331764</v>
      </c>
      <c r="I64" s="8">
        <f>G64/(E64/100000)</f>
        <v>16900.072280448137</v>
      </c>
      <c r="J64" s="1">
        <v>4</v>
      </c>
      <c r="K64" s="9">
        <f>I64/100000</f>
        <v>0.16900072280448136</v>
      </c>
      <c r="L64" s="1">
        <v>0.61799999999999999</v>
      </c>
      <c r="M64" s="10">
        <v>0.47789999999999999</v>
      </c>
      <c r="N64" s="9">
        <f>0.3328+(0.3351*K64)-(0.3324*L64)+(0.333*M63)</f>
        <v>0.28490794221178173</v>
      </c>
    </row>
    <row r="65" spans="1:14" ht="15.75" x14ac:dyDescent="0.25">
      <c r="A65">
        <v>63</v>
      </c>
      <c r="B65" s="4" t="s">
        <v>57</v>
      </c>
      <c r="C65" s="5" t="s">
        <v>79</v>
      </c>
      <c r="D65" s="1">
        <v>5601</v>
      </c>
      <c r="E65" s="6">
        <v>96770</v>
      </c>
      <c r="F65" s="6">
        <v>17827</v>
      </c>
      <c r="G65" s="6">
        <v>14583</v>
      </c>
      <c r="H65" s="7">
        <f>G65/F65*100</f>
        <v>81.802883266954623</v>
      </c>
      <c r="I65" s="8">
        <f>G65/(E65/100000)</f>
        <v>15069.753022630981</v>
      </c>
      <c r="J65" s="1">
        <v>2</v>
      </c>
      <c r="K65" s="9">
        <f>I65/100000</f>
        <v>0.1506975302263098</v>
      </c>
      <c r="L65" s="1">
        <v>0.60199999999999998</v>
      </c>
      <c r="M65" s="10">
        <v>0.31269999999999998</v>
      </c>
      <c r="N65" s="9">
        <f>0.3328+(0.3351*K65)-(0.3324*L65)+(0.333*M64)</f>
        <v>0.34233464237883637</v>
      </c>
    </row>
    <row r="66" spans="1:14" ht="15.75" x14ac:dyDescent="0.25">
      <c r="A66">
        <v>64</v>
      </c>
      <c r="B66" s="4" t="s">
        <v>57</v>
      </c>
      <c r="C66" s="5" t="s">
        <v>80</v>
      </c>
      <c r="D66" s="1">
        <v>5602</v>
      </c>
      <c r="E66" s="6">
        <v>16076</v>
      </c>
      <c r="F66" s="6">
        <v>2416</v>
      </c>
      <c r="G66" s="6">
        <v>4012</v>
      </c>
      <c r="H66" s="7">
        <f>G66/F66*100</f>
        <v>166.05960264900662</v>
      </c>
      <c r="I66" s="8">
        <f>G66/(E66/100000)</f>
        <v>24956.456830057232</v>
      </c>
      <c r="J66" s="1">
        <v>4</v>
      </c>
      <c r="K66" s="9">
        <f>I66/100000</f>
        <v>0.24956456830057233</v>
      </c>
      <c r="L66" s="1">
        <v>0.624</v>
      </c>
      <c r="M66" s="10">
        <v>0.61760000000000004</v>
      </c>
      <c r="N66" s="9">
        <f>0.3328+(0.3351*K66)-(0.3324*L66)+(0.333*M65)</f>
        <v>0.31314058683752177</v>
      </c>
    </row>
    <row r="67" spans="1:14" ht="15.75" x14ac:dyDescent="0.25">
      <c r="A67">
        <v>65</v>
      </c>
      <c r="B67" s="4" t="s">
        <v>57</v>
      </c>
      <c r="C67" s="5" t="s">
        <v>81</v>
      </c>
      <c r="D67" s="1">
        <v>5603</v>
      </c>
      <c r="E67" s="6">
        <v>24599</v>
      </c>
      <c r="F67" s="6">
        <v>4318</v>
      </c>
      <c r="G67" s="6">
        <v>5058</v>
      </c>
      <c r="H67" s="7">
        <f>G67/F67*100</f>
        <v>117.13756368689208</v>
      </c>
      <c r="I67" s="8">
        <f>G67/(E67/100000)</f>
        <v>20561.811455750234</v>
      </c>
      <c r="J67" s="1">
        <v>2</v>
      </c>
      <c r="K67" s="9">
        <f>I67/100000</f>
        <v>0.20561811455750234</v>
      </c>
      <c r="L67" s="1">
        <v>0.51500000000000001</v>
      </c>
      <c r="M67" s="10">
        <v>0.47089999999999999</v>
      </c>
      <c r="N67" s="9">
        <f>0.3328+(0.3351*K67)-(0.3324*L67)+(0.333*M66)</f>
        <v>0.43617743018821908</v>
      </c>
    </row>
    <row r="68" spans="1:14" ht="15.75" x14ac:dyDescent="0.25">
      <c r="A68">
        <v>66</v>
      </c>
      <c r="B68" s="4" t="s">
        <v>57</v>
      </c>
      <c r="C68" s="5" t="s">
        <v>82</v>
      </c>
      <c r="D68" s="1">
        <v>5604</v>
      </c>
      <c r="E68" s="6">
        <v>18971</v>
      </c>
      <c r="F68" s="6">
        <v>2925</v>
      </c>
      <c r="G68" s="6">
        <v>4765</v>
      </c>
      <c r="H68" s="7">
        <f>G68/F68*100</f>
        <v>162.90598290598291</v>
      </c>
      <c r="I68" s="8">
        <f>G68/(E68/100000)</f>
        <v>25117.284276000213</v>
      </c>
      <c r="J68" s="1">
        <v>3</v>
      </c>
      <c r="K68" s="9">
        <f>I68/100000</f>
        <v>0.25117284276000212</v>
      </c>
      <c r="L68" s="1">
        <v>0.54900000000000004</v>
      </c>
      <c r="M68" s="10">
        <v>0.20810000000000001</v>
      </c>
      <c r="N68" s="9">
        <f>0.3328+(0.3351*K68)-(0.3324*L68)+(0.333*M67)</f>
        <v>0.39129011960887672</v>
      </c>
    </row>
    <row r="69" spans="1:14" ht="15.75" x14ac:dyDescent="0.25">
      <c r="A69">
        <v>67</v>
      </c>
      <c r="B69" s="4" t="s">
        <v>57</v>
      </c>
      <c r="C69" s="5" t="s">
        <v>83</v>
      </c>
      <c r="D69" s="1">
        <v>5605</v>
      </c>
      <c r="E69" s="6">
        <v>16260</v>
      </c>
      <c r="F69" s="6">
        <v>2406</v>
      </c>
      <c r="G69" s="6">
        <v>4283</v>
      </c>
      <c r="H69" s="7">
        <f>G69/F69*100</f>
        <v>178.01330008312553</v>
      </c>
      <c r="I69" s="8">
        <f>G69/(E69/100000)</f>
        <v>26340.713407134073</v>
      </c>
      <c r="J69" s="1">
        <v>2</v>
      </c>
      <c r="K69" s="9">
        <f>I69/100000</f>
        <v>0.26340713407134075</v>
      </c>
      <c r="L69" s="1">
        <v>0.53900000000000003</v>
      </c>
      <c r="M69" s="10">
        <v>0.1066</v>
      </c>
      <c r="N69" s="9">
        <f>0.3328+(0.3351*K69)-(0.3324*L69)+(0.333*M68)</f>
        <v>0.31120143062730632</v>
      </c>
    </row>
    <row r="70" spans="1:14" ht="15.75" x14ac:dyDescent="0.25">
      <c r="A70">
        <v>68</v>
      </c>
      <c r="B70" s="4" t="s">
        <v>57</v>
      </c>
      <c r="C70" s="5" t="s">
        <v>84</v>
      </c>
      <c r="D70" s="1">
        <v>5606</v>
      </c>
      <c r="E70" s="6">
        <v>13171</v>
      </c>
      <c r="F70" s="6">
        <v>2382</v>
      </c>
      <c r="G70" s="6">
        <v>2474</v>
      </c>
      <c r="H70" s="7">
        <f>G70/F70*100</f>
        <v>103.8623005877414</v>
      </c>
      <c r="I70" s="8">
        <f>G70/(E70/100000)</f>
        <v>18783.691443322452</v>
      </c>
      <c r="J70" s="1">
        <v>2</v>
      </c>
      <c r="K70" s="9">
        <f>I70/100000</f>
        <v>0.18783691443322453</v>
      </c>
      <c r="L70" s="1">
        <v>0.72799999999999998</v>
      </c>
      <c r="M70" s="10">
        <v>0.2414</v>
      </c>
      <c r="N70" s="9">
        <f>0.3328+(0.3351*K70)-(0.3324*L70)+(0.333*M69)</f>
        <v>0.18925475002657355</v>
      </c>
    </row>
    <row r="71" spans="1:14" ht="15.75" x14ac:dyDescent="0.25">
      <c r="A71">
        <v>69</v>
      </c>
      <c r="B71" s="4" t="s">
        <v>57</v>
      </c>
      <c r="C71" s="5" t="s">
        <v>85</v>
      </c>
      <c r="D71" s="1">
        <v>5701</v>
      </c>
      <c r="E71" s="6">
        <v>80413</v>
      </c>
      <c r="F71" s="6">
        <v>14984</v>
      </c>
      <c r="G71" s="6">
        <v>11208</v>
      </c>
      <c r="H71" s="7">
        <f>G71/F71*100</f>
        <v>74.799786438868125</v>
      </c>
      <c r="I71" s="8">
        <f>G71/(E71/100000)</f>
        <v>13938.044843495454</v>
      </c>
      <c r="J71" s="1">
        <v>3</v>
      </c>
      <c r="K71" s="9">
        <f>I71/100000</f>
        <v>0.13938044843495453</v>
      </c>
      <c r="L71" s="1">
        <v>0.63200000000000001</v>
      </c>
      <c r="M71" s="10">
        <v>0.26169999999999999</v>
      </c>
      <c r="N71" s="9">
        <f>0.3328+(0.3351*K71)-(0.3324*L71)+(0.333*M70)</f>
        <v>0.24981578827055329</v>
      </c>
    </row>
    <row r="72" spans="1:14" ht="15.75" x14ac:dyDescent="0.25">
      <c r="A72">
        <v>70</v>
      </c>
      <c r="B72" s="4" t="s">
        <v>57</v>
      </c>
      <c r="C72" s="5" t="s">
        <v>86</v>
      </c>
      <c r="D72" s="1">
        <v>5702</v>
      </c>
      <c r="E72" s="6">
        <v>13760</v>
      </c>
      <c r="F72" s="6">
        <v>2445</v>
      </c>
      <c r="G72" s="6">
        <v>2292</v>
      </c>
      <c r="H72" s="7">
        <f>G72/F72*100</f>
        <v>93.742331288343564</v>
      </c>
      <c r="I72" s="8">
        <f>G72/(E72/100000)</f>
        <v>16656.976744186046</v>
      </c>
      <c r="J72" s="1">
        <v>4</v>
      </c>
      <c r="K72" s="9">
        <f>I72/100000</f>
        <v>0.16656976744186044</v>
      </c>
      <c r="L72" s="1">
        <v>0.57799999999999996</v>
      </c>
      <c r="M72" s="10">
        <v>0.11700000000000001</v>
      </c>
      <c r="N72" s="9">
        <f>0.3328+(0.3351*K72)-(0.3324*L72)+(0.333*M71)</f>
        <v>0.28363642906976749</v>
      </c>
    </row>
    <row r="73" spans="1:14" ht="15.75" x14ac:dyDescent="0.25">
      <c r="A73">
        <v>71</v>
      </c>
      <c r="B73" s="4" t="s">
        <v>57</v>
      </c>
      <c r="C73" s="5" t="s">
        <v>87</v>
      </c>
      <c r="D73" s="1">
        <v>5703</v>
      </c>
      <c r="E73" s="6">
        <v>25484</v>
      </c>
      <c r="F73" s="6">
        <v>4982</v>
      </c>
      <c r="G73" s="6">
        <v>3872</v>
      </c>
      <c r="H73" s="7">
        <f>G73/F73*100</f>
        <v>77.719791248494587</v>
      </c>
      <c r="I73" s="8">
        <f>G73/(E73/100000)</f>
        <v>15193.847119761418</v>
      </c>
      <c r="J73" s="1">
        <v>4</v>
      </c>
      <c r="K73" s="9">
        <f>I73/100000</f>
        <v>0.15193847119761419</v>
      </c>
      <c r="L73" s="1">
        <v>0.629</v>
      </c>
      <c r="M73" s="10">
        <v>0.39</v>
      </c>
      <c r="N73" s="9">
        <f>0.3328+(0.3351*K73)-(0.3324*L73)+(0.333*M72)</f>
        <v>0.21359598169832053</v>
      </c>
    </row>
    <row r="74" spans="1:14" ht="15.75" x14ac:dyDescent="0.25">
      <c r="A74">
        <v>72</v>
      </c>
      <c r="B74" s="4" t="s">
        <v>57</v>
      </c>
      <c r="C74" s="5" t="s">
        <v>88</v>
      </c>
      <c r="D74" s="1">
        <v>5704</v>
      </c>
      <c r="E74" s="6">
        <v>7269</v>
      </c>
      <c r="F74" s="6">
        <v>1313</v>
      </c>
      <c r="G74" s="6">
        <v>1101</v>
      </c>
      <c r="H74" s="7">
        <f>G74/F74*100</f>
        <v>83.85376999238386</v>
      </c>
      <c r="I74" s="8">
        <f>G74/(E74/100000)</f>
        <v>15146.512587701196</v>
      </c>
      <c r="J74" s="1">
        <v>4</v>
      </c>
      <c r="K74" s="9">
        <f>I74/100000</f>
        <v>0.15146512587701197</v>
      </c>
      <c r="L74" s="1">
        <v>0.59599999999999997</v>
      </c>
      <c r="M74" s="10">
        <v>0.35849999999999999</v>
      </c>
      <c r="N74" s="9">
        <f>0.3328+(0.3351*K74)-(0.3324*L74)+(0.333*M73)</f>
        <v>0.31531556368138669</v>
      </c>
    </row>
    <row r="75" spans="1:14" ht="15.75" x14ac:dyDescent="0.25">
      <c r="A75">
        <v>73</v>
      </c>
      <c r="B75" s="4" t="s">
        <v>57</v>
      </c>
      <c r="C75" s="5" t="s">
        <v>89</v>
      </c>
      <c r="D75" s="1">
        <v>5705</v>
      </c>
      <c r="E75" s="6">
        <v>17336</v>
      </c>
      <c r="F75" s="6">
        <v>3052</v>
      </c>
      <c r="G75" s="6">
        <v>3052</v>
      </c>
      <c r="H75" s="7">
        <f>G75/F75*100</f>
        <v>100</v>
      </c>
      <c r="I75" s="8">
        <f>G75/(E75/100000)</f>
        <v>17604.983848638672</v>
      </c>
      <c r="J75" s="1">
        <v>5</v>
      </c>
      <c r="K75" s="9">
        <f>I75/100000</f>
        <v>0.17604983848638672</v>
      </c>
      <c r="L75" s="1">
        <v>0.55200000000000005</v>
      </c>
      <c r="M75" s="10">
        <v>0.38540000000000002</v>
      </c>
      <c r="N75" s="9">
        <f>0.3328+(0.3351*K75)-(0.3324*L75)+(0.333*M74)</f>
        <v>0.32769000087678818</v>
      </c>
    </row>
    <row r="76" spans="1:14" ht="15.75" x14ac:dyDescent="0.25">
      <c r="A76">
        <v>74</v>
      </c>
      <c r="B76" s="4" t="s">
        <v>57</v>
      </c>
      <c r="C76" s="5" t="s">
        <v>90</v>
      </c>
      <c r="D76" s="1">
        <v>5706</v>
      </c>
      <c r="E76" s="6">
        <v>15134</v>
      </c>
      <c r="F76" s="6">
        <v>2713</v>
      </c>
      <c r="G76" s="6">
        <v>2466</v>
      </c>
      <c r="H76" s="7">
        <f>G76/F76*100</f>
        <v>90.895687430888316</v>
      </c>
      <c r="I76" s="8">
        <f>G76/(E76/100000)</f>
        <v>16294.436368441919</v>
      </c>
      <c r="J76" s="1">
        <v>4</v>
      </c>
      <c r="K76" s="9">
        <f>I76/100000</f>
        <v>0.1629443636844192</v>
      </c>
      <c r="L76" s="1">
        <v>0.6</v>
      </c>
      <c r="M76" s="10">
        <v>0.41060000000000002</v>
      </c>
      <c r="N76" s="9">
        <f>0.3328+(0.3351*K76)-(0.3324*L76)+(0.333*M75)</f>
        <v>0.31630085627064886</v>
      </c>
    </row>
    <row r="77" spans="1:14" ht="15.75" x14ac:dyDescent="0.25">
      <c r="A77">
        <v>75</v>
      </c>
      <c r="B77" s="4" t="s">
        <v>57</v>
      </c>
      <c r="C77" s="5" t="s">
        <v>91</v>
      </c>
      <c r="D77" s="1">
        <v>5801</v>
      </c>
      <c r="E77" s="6">
        <v>162559</v>
      </c>
      <c r="F77" s="6">
        <v>25457</v>
      </c>
      <c r="G77" s="6">
        <v>28715</v>
      </c>
      <c r="H77" s="7">
        <f>G77/F77*100</f>
        <v>112.79805161645126</v>
      </c>
      <c r="I77" s="8">
        <f>G77/(E77/100000)</f>
        <v>17664.355710849599</v>
      </c>
      <c r="J77" s="1">
        <v>1</v>
      </c>
      <c r="K77" s="9">
        <f>I77/100000</f>
        <v>0.176643557108496</v>
      </c>
      <c r="L77" s="1">
        <v>0.67500000000000004</v>
      </c>
      <c r="M77" s="10">
        <v>6.3800000000000009E-2</v>
      </c>
      <c r="N77" s="9">
        <f>0.3328+(0.3351*K77)-(0.3324*L77)+(0.333*M76)</f>
        <v>0.30435305598705698</v>
      </c>
    </row>
    <row r="78" spans="1:14" ht="15.75" x14ac:dyDescent="0.25">
      <c r="A78">
        <v>76</v>
      </c>
      <c r="B78" s="4" t="s">
        <v>57</v>
      </c>
      <c r="C78" s="5" t="s">
        <v>92</v>
      </c>
      <c r="D78" s="1">
        <v>5802</v>
      </c>
      <c r="E78" s="6">
        <v>56145</v>
      </c>
      <c r="F78" s="6">
        <v>10301</v>
      </c>
      <c r="G78" s="6">
        <v>8845</v>
      </c>
      <c r="H78" s="7">
        <f>G78/F78*100</f>
        <v>85.865449956314919</v>
      </c>
      <c r="I78" s="8">
        <f>G78/(E78/100000)</f>
        <v>15753.851634161545</v>
      </c>
      <c r="J78" s="1">
        <v>3</v>
      </c>
      <c r="K78" s="9">
        <f>I78/100000</f>
        <v>0.15753851634161545</v>
      </c>
      <c r="L78" s="1">
        <v>0.623</v>
      </c>
      <c r="M78" s="10">
        <v>0.1116</v>
      </c>
      <c r="N78" s="9">
        <f>0.3328+(0.3351*K78)-(0.3324*L78)+(0.333*M77)</f>
        <v>0.19975135682607534</v>
      </c>
    </row>
    <row r="79" spans="1:14" ht="15.75" x14ac:dyDescent="0.25">
      <c r="A79">
        <v>77</v>
      </c>
      <c r="B79" s="4" t="s">
        <v>57</v>
      </c>
      <c r="C79" s="5" t="s">
        <v>93</v>
      </c>
      <c r="D79" s="1">
        <v>5803</v>
      </c>
      <c r="E79" s="6">
        <v>19778</v>
      </c>
      <c r="F79" s="6">
        <v>3338</v>
      </c>
      <c r="G79" s="6">
        <v>3838</v>
      </c>
      <c r="H79" s="7">
        <f>G79/F79*100</f>
        <v>114.97902935889755</v>
      </c>
      <c r="I79" s="8">
        <f>G79/(E79/100000)</f>
        <v>19405.399939326522</v>
      </c>
      <c r="J79" s="1">
        <v>3</v>
      </c>
      <c r="K79" s="9">
        <f>I79/100000</f>
        <v>0.19405399939326523</v>
      </c>
      <c r="L79" s="1">
        <v>0.6</v>
      </c>
      <c r="M79" s="10">
        <v>0.33850000000000002</v>
      </c>
      <c r="N79" s="9">
        <f>0.3328+(0.3351*K79)-(0.3324*L79)+(0.333*M78)</f>
        <v>0.23555029519668316</v>
      </c>
    </row>
    <row r="80" spans="1:14" ht="15.75" x14ac:dyDescent="0.25">
      <c r="A80">
        <v>78</v>
      </c>
      <c r="B80" s="4" t="s">
        <v>57</v>
      </c>
      <c r="C80" s="5" t="s">
        <v>94</v>
      </c>
      <c r="D80" s="1">
        <v>5804</v>
      </c>
      <c r="E80" s="6">
        <v>139571</v>
      </c>
      <c r="F80" s="6">
        <v>24469</v>
      </c>
      <c r="G80" s="6">
        <v>21751</v>
      </c>
      <c r="H80" s="7">
        <f>G80/F80*100</f>
        <v>88.892067513997304</v>
      </c>
      <c r="I80" s="8">
        <f>G80/(E80/100000)</f>
        <v>15584.182960643686</v>
      </c>
      <c r="J80" s="1">
        <v>1</v>
      </c>
      <c r="K80" s="9">
        <f>I80/100000</f>
        <v>0.15584182960643686</v>
      </c>
      <c r="L80" s="1">
        <v>0.67</v>
      </c>
      <c r="M80" s="10">
        <v>0.25109999999999999</v>
      </c>
      <c r="N80" s="9">
        <f>0.3328+(0.3351*K80)-(0.3324*L80)+(0.333*M79)</f>
        <v>0.27503509710111701</v>
      </c>
    </row>
    <row r="81" spans="1:14" ht="15.75" x14ac:dyDescent="0.25">
      <c r="A81">
        <v>79</v>
      </c>
      <c r="B81" s="1" t="s">
        <v>95</v>
      </c>
      <c r="C81" s="5" t="s">
        <v>96</v>
      </c>
      <c r="D81" s="1">
        <v>6101</v>
      </c>
      <c r="E81" s="6">
        <v>257744</v>
      </c>
      <c r="F81" s="6">
        <v>45782</v>
      </c>
      <c r="G81" s="6">
        <v>35863</v>
      </c>
      <c r="H81" s="7">
        <f>G81/F81*100</f>
        <v>78.334279847975182</v>
      </c>
      <c r="I81" s="8">
        <f>G81/(E81/100000)</f>
        <v>13914.193928859642</v>
      </c>
      <c r="J81" s="1">
        <v>1</v>
      </c>
      <c r="K81" s="9">
        <f>I81/100000</f>
        <v>0.13914193928859642</v>
      </c>
      <c r="L81" s="1">
        <v>0.65800000000000003</v>
      </c>
      <c r="M81" s="10">
        <v>5.0999999999999997E-2</v>
      </c>
      <c r="N81" s="9">
        <f>0.3328+(0.3351*K81)-(0.3324*L81)+(0.333*M80)</f>
        <v>0.24432356385560863</v>
      </c>
    </row>
    <row r="82" spans="1:14" ht="15.75" x14ac:dyDescent="0.25">
      <c r="A82">
        <v>80</v>
      </c>
      <c r="B82" s="1" t="s">
        <v>95</v>
      </c>
      <c r="C82" s="5" t="s">
        <v>97</v>
      </c>
      <c r="D82" s="1">
        <v>6102</v>
      </c>
      <c r="E82" s="6">
        <v>13955</v>
      </c>
      <c r="F82" s="6">
        <v>2515</v>
      </c>
      <c r="G82" s="6">
        <v>2014</v>
      </c>
      <c r="H82" s="7">
        <f>G82/F82*100</f>
        <v>80.079522862823055</v>
      </c>
      <c r="I82" s="8">
        <f>G82/(E82/100000)</f>
        <v>14432.103188821211</v>
      </c>
      <c r="J82" s="1">
        <v>4</v>
      </c>
      <c r="K82" s="9">
        <f>I82/100000</f>
        <v>0.1443210318882121</v>
      </c>
      <c r="L82" s="1">
        <v>0.61499999999999999</v>
      </c>
      <c r="M82" s="10">
        <v>0.3392</v>
      </c>
      <c r="N82" s="9">
        <f>0.3328+(0.3351*K82)-(0.3324*L82)+(0.333*M81)</f>
        <v>0.19371897778573988</v>
      </c>
    </row>
    <row r="83" spans="1:14" ht="15.75" x14ac:dyDescent="0.25">
      <c r="A83">
        <v>81</v>
      </c>
      <c r="B83" s="1" t="s">
        <v>95</v>
      </c>
      <c r="C83" s="5" t="s">
        <v>98</v>
      </c>
      <c r="D83" s="1">
        <v>6103</v>
      </c>
      <c r="E83" s="6">
        <v>7916</v>
      </c>
      <c r="F83" s="6">
        <v>1333</v>
      </c>
      <c r="G83" s="6">
        <v>1447</v>
      </c>
      <c r="H83" s="7">
        <f>G83/F83*100</f>
        <v>108.55213803450863</v>
      </c>
      <c r="I83" s="8">
        <f>G83/(E83/100000)</f>
        <v>18279.434057604853</v>
      </c>
      <c r="J83" s="1">
        <v>4</v>
      </c>
      <c r="K83" s="9">
        <f>I83/100000</f>
        <v>0.18279434057604851</v>
      </c>
      <c r="L83" s="1">
        <v>0.55600000000000005</v>
      </c>
      <c r="M83" s="10">
        <v>0.2661</v>
      </c>
      <c r="N83" s="9">
        <f>0.3328+(0.3351*K83)-(0.3324*L83)+(0.333*M82)</f>
        <v>0.32219358352703381</v>
      </c>
    </row>
    <row r="84" spans="1:14" ht="15.75" x14ac:dyDescent="0.25">
      <c r="A84">
        <v>82</v>
      </c>
      <c r="B84" s="1" t="s">
        <v>95</v>
      </c>
      <c r="C84" s="5" t="s">
        <v>99</v>
      </c>
      <c r="D84" s="1">
        <v>6104</v>
      </c>
      <c r="E84" s="6">
        <v>21373</v>
      </c>
      <c r="F84" s="6">
        <v>3867</v>
      </c>
      <c r="G84" s="6">
        <v>3446</v>
      </c>
      <c r="H84" s="7">
        <f>G84/F84*100</f>
        <v>89.1130074993535</v>
      </c>
      <c r="I84" s="8">
        <f>G84/(E84/100000)</f>
        <v>16123.146025359098</v>
      </c>
      <c r="J84" s="1">
        <v>4</v>
      </c>
      <c r="K84" s="9">
        <f>I84/100000</f>
        <v>0.16123146025359097</v>
      </c>
      <c r="L84" s="1">
        <v>0.56599999999999995</v>
      </c>
      <c r="M84" s="10">
        <v>0.30370000000000003</v>
      </c>
      <c r="N84" s="9">
        <f>0.3328+(0.3351*K84)-(0.3324*L84)+(0.333*M83)</f>
        <v>0.28730156233097837</v>
      </c>
    </row>
    <row r="85" spans="1:14" ht="15.75" x14ac:dyDescent="0.25">
      <c r="A85">
        <v>83</v>
      </c>
      <c r="B85" s="1" t="s">
        <v>95</v>
      </c>
      <c r="C85" s="5" t="s">
        <v>100</v>
      </c>
      <c r="D85" s="1">
        <v>6105</v>
      </c>
      <c r="E85" s="6">
        <v>21925</v>
      </c>
      <c r="F85" s="6">
        <v>4064</v>
      </c>
      <c r="G85" s="6">
        <v>3321</v>
      </c>
      <c r="H85" s="7">
        <f>G85/F85*100</f>
        <v>81.717519685039377</v>
      </c>
      <c r="I85" s="8">
        <f>G85/(E85/100000)</f>
        <v>15147.09236031927</v>
      </c>
      <c r="J85" s="1">
        <v>3</v>
      </c>
      <c r="K85" s="9">
        <f>I85/100000</f>
        <v>0.1514709236031927</v>
      </c>
      <c r="L85" s="1">
        <v>0.61099999999999999</v>
      </c>
      <c r="M85" s="10">
        <v>0.4486</v>
      </c>
      <c r="N85" s="9">
        <f>0.3328+(0.3351*K85)-(0.3324*L85)+(0.333*M84)</f>
        <v>0.28159360649942988</v>
      </c>
    </row>
    <row r="86" spans="1:14" ht="15.75" x14ac:dyDescent="0.25">
      <c r="A86">
        <v>84</v>
      </c>
      <c r="B86" s="1" t="s">
        <v>95</v>
      </c>
      <c r="C86" s="5" t="s">
        <v>101</v>
      </c>
      <c r="D86" s="1">
        <v>6106</v>
      </c>
      <c r="E86" s="6">
        <v>35938</v>
      </c>
      <c r="F86" s="6">
        <v>7131</v>
      </c>
      <c r="G86" s="6">
        <v>4376</v>
      </c>
      <c r="H86" s="7">
        <f>G86/F86*100</f>
        <v>61.365867339784039</v>
      </c>
      <c r="I86" s="8">
        <f>G86/(E86/100000)</f>
        <v>12176.526239634928</v>
      </c>
      <c r="J86" s="1">
        <v>3</v>
      </c>
      <c r="K86" s="9">
        <f>I86/100000</f>
        <v>0.12176526239634929</v>
      </c>
      <c r="L86" s="1">
        <v>0.59699999999999998</v>
      </c>
      <c r="M86" s="10">
        <v>0.36330000000000001</v>
      </c>
      <c r="N86" s="9">
        <f>0.3328+(0.3351*K86)-(0.3324*L86)+(0.333*M85)</f>
        <v>0.32454453942901668</v>
      </c>
    </row>
    <row r="87" spans="1:14" ht="15.75" x14ac:dyDescent="0.25">
      <c r="A87">
        <v>85</v>
      </c>
      <c r="B87" s="1" t="s">
        <v>95</v>
      </c>
      <c r="C87" s="5" t="s">
        <v>102</v>
      </c>
      <c r="D87" s="1">
        <v>6107</v>
      </c>
      <c r="E87" s="6">
        <v>27554</v>
      </c>
      <c r="F87" s="6">
        <v>4932</v>
      </c>
      <c r="G87" s="6">
        <v>4467</v>
      </c>
      <c r="H87" s="7">
        <f>G87/F87*100</f>
        <v>90.571776155717771</v>
      </c>
      <c r="I87" s="8">
        <f>G87/(E87/100000)</f>
        <v>16211.80227916092</v>
      </c>
      <c r="J87" s="1">
        <v>4</v>
      </c>
      <c r="K87" s="9">
        <f>I87/100000</f>
        <v>0.1621180227916092</v>
      </c>
      <c r="L87" s="1">
        <v>0.53700000000000003</v>
      </c>
      <c r="M87" s="10">
        <v>0.2077</v>
      </c>
      <c r="N87" s="9">
        <f>0.3328+(0.3351*K87)-(0.3324*L87)+(0.333*M86)</f>
        <v>0.32960584943746829</v>
      </c>
    </row>
    <row r="88" spans="1:14" ht="15.75" x14ac:dyDescent="0.25">
      <c r="A88">
        <v>86</v>
      </c>
      <c r="B88" s="1" t="s">
        <v>95</v>
      </c>
      <c r="C88" s="5" t="s">
        <v>103</v>
      </c>
      <c r="D88" s="1">
        <v>6108</v>
      </c>
      <c r="E88" s="6">
        <v>60875</v>
      </c>
      <c r="F88" s="6">
        <v>12811</v>
      </c>
      <c r="G88" s="6">
        <v>6715</v>
      </c>
      <c r="H88" s="7">
        <f>G88/F88*100</f>
        <v>52.415892592303493</v>
      </c>
      <c r="I88" s="8">
        <f>G88/(E88/100000)</f>
        <v>11030.800821355237</v>
      </c>
      <c r="J88" s="1">
        <v>2</v>
      </c>
      <c r="K88" s="9">
        <f>I88/100000</f>
        <v>0.11030800821355237</v>
      </c>
      <c r="L88" s="1">
        <v>0.78</v>
      </c>
      <c r="M88" s="10">
        <v>0.4264</v>
      </c>
      <c r="N88" s="9">
        <f>0.3328+(0.3351*K88)-(0.3324*L88)+(0.333*M87)</f>
        <v>0.17965631355236139</v>
      </c>
    </row>
    <row r="89" spans="1:14" ht="15.75" x14ac:dyDescent="0.25">
      <c r="A89">
        <v>87</v>
      </c>
      <c r="B89" s="1" t="s">
        <v>95</v>
      </c>
      <c r="C89" s="5" t="s">
        <v>104</v>
      </c>
      <c r="D89" s="1">
        <v>6109</v>
      </c>
      <c r="E89" s="6">
        <v>13882</v>
      </c>
      <c r="F89" s="6">
        <v>2348</v>
      </c>
      <c r="G89" s="6">
        <v>2428</v>
      </c>
      <c r="H89" s="7">
        <f>G89/F89*100</f>
        <v>103.40715502555366</v>
      </c>
      <c r="I89" s="8">
        <f>G89/(E89/100000)</f>
        <v>17490.275176487539</v>
      </c>
      <c r="J89" s="1">
        <v>5</v>
      </c>
      <c r="K89" s="9">
        <f>I89/100000</f>
        <v>0.17490275176487538</v>
      </c>
      <c r="L89" s="1">
        <v>0.52600000000000002</v>
      </c>
      <c r="M89" s="10">
        <v>0.5726</v>
      </c>
      <c r="N89" s="9">
        <f>0.3328+(0.3351*K89)-(0.3324*L89)+(0.333*M88)</f>
        <v>0.35855871211640977</v>
      </c>
    </row>
    <row r="90" spans="1:14" ht="15.75" x14ac:dyDescent="0.25">
      <c r="A90">
        <v>88</v>
      </c>
      <c r="B90" s="1" t="s">
        <v>95</v>
      </c>
      <c r="C90" s="5" t="s">
        <v>105</v>
      </c>
      <c r="D90" s="1">
        <v>6110</v>
      </c>
      <c r="E90" s="6">
        <v>27394</v>
      </c>
      <c r="F90" s="6">
        <v>5128</v>
      </c>
      <c r="G90" s="6">
        <v>3960</v>
      </c>
      <c r="H90" s="7">
        <f>G90/F90*100</f>
        <v>77.223088923556944</v>
      </c>
      <c r="I90" s="8">
        <f>G90/(E90/100000)</f>
        <v>14455.720230707453</v>
      </c>
      <c r="J90" s="1">
        <v>3</v>
      </c>
      <c r="K90" s="9">
        <f>I90/100000</f>
        <v>0.14455720230707453</v>
      </c>
      <c r="L90" s="1">
        <v>0.59399999999999997</v>
      </c>
      <c r="M90" s="10">
        <v>0.2964</v>
      </c>
      <c r="N90" s="9">
        <f>0.3328+(0.3351*K90)-(0.3324*L90)+(0.333*M89)</f>
        <v>0.37447131849310067</v>
      </c>
    </row>
    <row r="91" spans="1:14" ht="15.75" x14ac:dyDescent="0.25">
      <c r="A91">
        <v>89</v>
      </c>
      <c r="B91" s="1" t="s">
        <v>95</v>
      </c>
      <c r="C91" s="5" t="s">
        <v>106</v>
      </c>
      <c r="D91" s="1">
        <v>6111</v>
      </c>
      <c r="E91" s="6">
        <v>13901</v>
      </c>
      <c r="F91" s="6">
        <v>2478</v>
      </c>
      <c r="G91" s="6">
        <v>2081</v>
      </c>
      <c r="H91" s="7">
        <f>G91/F91*100</f>
        <v>83.979015334947533</v>
      </c>
      <c r="I91" s="8">
        <f>G91/(E91/100000)</f>
        <v>14970.146032659521</v>
      </c>
      <c r="J91" s="1">
        <v>4</v>
      </c>
      <c r="K91" s="9">
        <f>I91/100000</f>
        <v>0.1497014603265952</v>
      </c>
      <c r="L91" s="1">
        <v>0.64300000000000002</v>
      </c>
      <c r="M91" s="10">
        <v>0.39040000000000002</v>
      </c>
      <c r="N91" s="9">
        <f>0.3328+(0.3351*K91)-(0.3324*L91)+(0.333*M90)</f>
        <v>0.26793295935544209</v>
      </c>
    </row>
    <row r="92" spans="1:14" ht="15.75" x14ac:dyDescent="0.25">
      <c r="A92">
        <v>90</v>
      </c>
      <c r="B92" s="1" t="s">
        <v>95</v>
      </c>
      <c r="C92" s="5" t="s">
        <v>107</v>
      </c>
      <c r="D92" s="11">
        <v>6112</v>
      </c>
      <c r="E92" s="6">
        <v>14243</v>
      </c>
      <c r="F92" s="6">
        <v>2433</v>
      </c>
      <c r="G92" s="6">
        <v>2360</v>
      </c>
      <c r="H92" s="7">
        <f>G92/F92*100</f>
        <v>96.999588984792439</v>
      </c>
      <c r="I92" s="8">
        <f>G92/(E92/100000)</f>
        <v>16569.54293337078</v>
      </c>
      <c r="J92" s="1">
        <v>4</v>
      </c>
      <c r="K92" s="9">
        <f>I92/100000</f>
        <v>0.16569542933370779</v>
      </c>
      <c r="L92" s="1">
        <v>0.58599999999999997</v>
      </c>
      <c r="M92" s="10">
        <v>0.33</v>
      </c>
      <c r="N92" s="9">
        <f>0.3328+(0.3351*K92)-(0.3324*L92)+(0.333*M91)</f>
        <v>0.32354133836972554</v>
      </c>
    </row>
    <row r="93" spans="1:14" ht="15.75" x14ac:dyDescent="0.25">
      <c r="A93">
        <v>91</v>
      </c>
      <c r="B93" s="1" t="s">
        <v>95</v>
      </c>
      <c r="C93" s="5" t="s">
        <v>108</v>
      </c>
      <c r="D93" s="1">
        <v>6113</v>
      </c>
      <c r="E93" s="6">
        <v>20363</v>
      </c>
      <c r="F93" s="6">
        <v>3458</v>
      </c>
      <c r="G93" s="6">
        <v>3714</v>
      </c>
      <c r="H93" s="7">
        <f>G93/F93*100</f>
        <v>107.40312319259688</v>
      </c>
      <c r="I93" s="8">
        <f>G93/(E93/100000)</f>
        <v>18238.96282473113</v>
      </c>
      <c r="J93" s="1">
        <v>5</v>
      </c>
      <c r="K93" s="9">
        <f>I93/100000</f>
        <v>0.18238962824731131</v>
      </c>
      <c r="L93" s="1">
        <v>0.53900000000000003</v>
      </c>
      <c r="M93" s="10">
        <v>0.22939999999999999</v>
      </c>
      <c r="N93" s="9">
        <f>0.3328+(0.3351*K93)-(0.3324*L93)+(0.333*M92)</f>
        <v>0.32464516442567404</v>
      </c>
    </row>
    <row r="94" spans="1:14" ht="15.75" x14ac:dyDescent="0.25">
      <c r="A94">
        <v>92</v>
      </c>
      <c r="B94" s="1" t="s">
        <v>95</v>
      </c>
      <c r="C94" s="5" t="s">
        <v>109</v>
      </c>
      <c r="D94" s="1">
        <v>6114</v>
      </c>
      <c r="E94" s="6">
        <v>13558</v>
      </c>
      <c r="F94" s="6">
        <v>2283</v>
      </c>
      <c r="G94" s="6">
        <v>2207</v>
      </c>
      <c r="H94" s="7">
        <f>G94/F94*100</f>
        <v>96.671046868155926</v>
      </c>
      <c r="I94" s="8">
        <f>G94/(E94/100000)</f>
        <v>16278.212125682254</v>
      </c>
      <c r="J94" s="1">
        <v>4</v>
      </c>
      <c r="K94" s="9">
        <f>I94/100000</f>
        <v>0.16278212125682254</v>
      </c>
      <c r="L94" s="1">
        <v>0.54400000000000004</v>
      </c>
      <c r="M94" s="10">
        <v>0.34239999999999998</v>
      </c>
      <c r="N94" s="9">
        <f>0.3328+(0.3351*K94)-(0.3324*L94)+(0.333*M93)</f>
        <v>0.28291288883316118</v>
      </c>
    </row>
    <row r="95" spans="1:14" ht="15.75" x14ac:dyDescent="0.25">
      <c r="A95">
        <v>93</v>
      </c>
      <c r="B95" s="1" t="s">
        <v>95</v>
      </c>
      <c r="C95" s="5" t="s">
        <v>110</v>
      </c>
      <c r="D95" s="1">
        <v>6115</v>
      </c>
      <c r="E95" s="6">
        <v>63620</v>
      </c>
      <c r="F95" s="6">
        <v>12203</v>
      </c>
      <c r="G95" s="6">
        <v>8796</v>
      </c>
      <c r="H95" s="7">
        <f>G95/F95*100</f>
        <v>72.080635909202655</v>
      </c>
      <c r="I95" s="8">
        <f>G95/(E95/100000)</f>
        <v>13825.840930524992</v>
      </c>
      <c r="J95" s="1">
        <v>4</v>
      </c>
      <c r="K95" s="9">
        <f>I95/100000</f>
        <v>0.13825840930524991</v>
      </c>
      <c r="L95" s="1">
        <v>0.57099999999999995</v>
      </c>
      <c r="M95" s="10">
        <v>0.45540000000000003</v>
      </c>
      <c r="N95" s="9">
        <f>0.3328+(0.3351*K95)-(0.3324*L95)+(0.333*M94)</f>
        <v>0.30334919295818924</v>
      </c>
    </row>
    <row r="96" spans="1:14" ht="15.75" x14ac:dyDescent="0.25">
      <c r="A96">
        <v>94</v>
      </c>
      <c r="B96" s="1" t="s">
        <v>95</v>
      </c>
      <c r="C96" s="5" t="s">
        <v>111</v>
      </c>
      <c r="D96" s="1">
        <v>6116</v>
      </c>
      <c r="E96" s="6">
        <v>29508</v>
      </c>
      <c r="F96" s="6">
        <v>5620</v>
      </c>
      <c r="G96" s="6">
        <v>3878</v>
      </c>
      <c r="H96" s="7">
        <f>G96/F96*100</f>
        <v>69.003558718861214</v>
      </c>
      <c r="I96" s="8">
        <f>G96/(E96/100000)</f>
        <v>13142.198725769282</v>
      </c>
      <c r="J96" s="1">
        <v>4</v>
      </c>
      <c r="K96" s="9">
        <f>I96/100000</f>
        <v>0.13142198725769283</v>
      </c>
      <c r="L96" s="1">
        <v>0.627</v>
      </c>
      <c r="M96" s="10">
        <v>0.3357</v>
      </c>
      <c r="N96" s="9">
        <f>0.3328+(0.3351*K96)-(0.3324*L96)+(0.333*M95)</f>
        <v>0.32007290793005283</v>
      </c>
    </row>
    <row r="97" spans="1:14" ht="15.75" x14ac:dyDescent="0.25">
      <c r="A97">
        <v>95</v>
      </c>
      <c r="B97" s="1" t="s">
        <v>95</v>
      </c>
      <c r="C97" s="5" t="s">
        <v>112</v>
      </c>
      <c r="D97" s="1">
        <v>6117</v>
      </c>
      <c r="E97" s="6">
        <v>49559</v>
      </c>
      <c r="F97" s="6">
        <v>8485</v>
      </c>
      <c r="G97" s="6">
        <v>8532</v>
      </c>
      <c r="H97" s="7">
        <f>G97/F97*100</f>
        <v>100.55391868002357</v>
      </c>
      <c r="I97" s="8">
        <f>G97/(E97/100000)</f>
        <v>17215.843741802702</v>
      </c>
      <c r="J97" s="1">
        <v>4</v>
      </c>
      <c r="K97" s="9">
        <f>I97/100000</f>
        <v>0.17215843741802703</v>
      </c>
      <c r="L97" s="1">
        <v>0.59499999999999997</v>
      </c>
      <c r="M97" s="10">
        <v>0.30690000000000001</v>
      </c>
      <c r="N97" s="9">
        <f>0.3328+(0.3351*K97)-(0.3324*L97)+(0.333*M96)</f>
        <v>0.3045003923787809</v>
      </c>
    </row>
    <row r="98" spans="1:14" ht="15.75" x14ac:dyDescent="0.25">
      <c r="A98">
        <v>96</v>
      </c>
      <c r="B98" s="1" t="s">
        <v>95</v>
      </c>
      <c r="C98" s="5" t="s">
        <v>113</v>
      </c>
      <c r="D98" s="1">
        <v>6201</v>
      </c>
      <c r="E98" s="6">
        <v>19847</v>
      </c>
      <c r="F98" s="6">
        <v>3565</v>
      </c>
      <c r="G98" s="6">
        <v>3264</v>
      </c>
      <c r="H98" s="7">
        <f>G98/F98*100</f>
        <v>91.556802244039275</v>
      </c>
      <c r="I98" s="8">
        <f>G98/(E98/100000)</f>
        <v>16445.810449942055</v>
      </c>
      <c r="J98" s="1">
        <v>3</v>
      </c>
      <c r="K98" s="9">
        <f>I98/100000</f>
        <v>0.16445810449942055</v>
      </c>
      <c r="L98" s="1">
        <v>0.56599999999999995</v>
      </c>
      <c r="M98" s="10">
        <v>0.32329999999999998</v>
      </c>
      <c r="N98" s="9">
        <f>0.3328+(0.3351*K98)-(0.3324*L98)+(0.333*M97)</f>
        <v>0.30196921081775585</v>
      </c>
    </row>
    <row r="99" spans="1:14" ht="15.75" x14ac:dyDescent="0.25">
      <c r="A99">
        <v>97</v>
      </c>
      <c r="B99" s="1" t="s">
        <v>95</v>
      </c>
      <c r="C99" s="5" t="s">
        <v>114</v>
      </c>
      <c r="D99" s="1">
        <v>6202</v>
      </c>
      <c r="E99" s="6">
        <v>4609</v>
      </c>
      <c r="F99" s="6">
        <v>728</v>
      </c>
      <c r="G99" s="6">
        <v>943</v>
      </c>
      <c r="H99" s="7">
        <f>G99/F99*100</f>
        <v>129.53296703296704</v>
      </c>
      <c r="I99" s="8">
        <f>G99/(E99/100000)</f>
        <v>20459.96962464743</v>
      </c>
      <c r="J99" s="1">
        <v>4</v>
      </c>
      <c r="K99" s="9">
        <f>I99/100000</f>
        <v>0.20459969624647431</v>
      </c>
      <c r="L99" s="1">
        <v>0.56399999999999995</v>
      </c>
      <c r="M99" s="10">
        <v>0.31690000000000002</v>
      </c>
      <c r="N99" s="9">
        <f>0.3328+(0.3351*K99)-(0.3324*L99)+(0.333*M98)</f>
        <v>0.32154665821219358</v>
      </c>
    </row>
    <row r="100" spans="1:14" ht="15.75" x14ac:dyDescent="0.25">
      <c r="A100">
        <v>98</v>
      </c>
      <c r="B100" s="1" t="s">
        <v>95</v>
      </c>
      <c r="C100" s="5" t="s">
        <v>115</v>
      </c>
      <c r="D100" s="1">
        <v>6203</v>
      </c>
      <c r="E100" s="6">
        <v>8852</v>
      </c>
      <c r="F100" s="6">
        <v>1543</v>
      </c>
      <c r="G100" s="6">
        <v>1677</v>
      </c>
      <c r="H100" s="7">
        <f>G100/F100*100</f>
        <v>108.68438107582632</v>
      </c>
      <c r="I100" s="8">
        <f>G100/(E100/100000)</f>
        <v>18944.87121554451</v>
      </c>
      <c r="J100" s="1">
        <v>5</v>
      </c>
      <c r="K100" s="9">
        <f>I100/100000</f>
        <v>0.18944871215544509</v>
      </c>
      <c r="L100" s="1">
        <v>0.53300000000000003</v>
      </c>
      <c r="M100" s="10">
        <v>0.2097</v>
      </c>
      <c r="N100" s="9">
        <f>0.3328+(0.3351*K100)-(0.3324*L100)+(0.333*M99)</f>
        <v>0.32464276344328968</v>
      </c>
    </row>
    <row r="101" spans="1:14" ht="15.75" x14ac:dyDescent="0.25">
      <c r="A101">
        <v>99</v>
      </c>
      <c r="B101" s="1" t="s">
        <v>95</v>
      </c>
      <c r="C101" s="5" t="s">
        <v>116</v>
      </c>
      <c r="D101" s="1">
        <v>6204</v>
      </c>
      <c r="E101" s="6">
        <v>8715</v>
      </c>
      <c r="F101" s="6">
        <v>1387</v>
      </c>
      <c r="G101" s="6">
        <v>1664</v>
      </c>
      <c r="H101" s="7">
        <f>G101/F101*100</f>
        <v>119.97116077865897</v>
      </c>
      <c r="I101" s="8">
        <f>G101/(E101/100000)</f>
        <v>19093.516924842224</v>
      </c>
      <c r="J101" s="1">
        <v>5</v>
      </c>
      <c r="K101" s="9">
        <f>I101/100000</f>
        <v>0.19093516924842224</v>
      </c>
      <c r="L101" s="1">
        <v>0.55800000000000005</v>
      </c>
      <c r="M101" s="10">
        <v>0.46639999999999998</v>
      </c>
      <c r="N101" s="9">
        <f>0.3328+(0.3351*K101)-(0.3324*L101)+(0.333*M100)</f>
        <v>0.28113327521514625</v>
      </c>
    </row>
    <row r="102" spans="1:14" ht="15.75" x14ac:dyDescent="0.25">
      <c r="A102">
        <v>100</v>
      </c>
      <c r="B102" s="1" t="s">
        <v>95</v>
      </c>
      <c r="C102" s="5" t="s">
        <v>117</v>
      </c>
      <c r="D102" s="1">
        <v>6205</v>
      </c>
      <c r="E102" s="6">
        <v>8885</v>
      </c>
      <c r="F102" s="6">
        <v>1467</v>
      </c>
      <c r="G102" s="6">
        <v>1962</v>
      </c>
      <c r="H102" s="7">
        <f>G102/F102*100</f>
        <v>133.74233128834356</v>
      </c>
      <c r="I102" s="8">
        <f>G102/(E102/100000)</f>
        <v>22082.16094541362</v>
      </c>
      <c r="J102" s="1">
        <v>5</v>
      </c>
      <c r="K102" s="9">
        <f>I102/100000</f>
        <v>0.2208216094541362</v>
      </c>
      <c r="L102" s="1">
        <v>0.51700000000000002</v>
      </c>
      <c r="M102" s="10">
        <v>0.34189999999999998</v>
      </c>
      <c r="N102" s="9">
        <f>0.3328+(0.3351*K102)-(0.3324*L102)+(0.333*M101)</f>
        <v>0.39025772132808101</v>
      </c>
    </row>
    <row r="103" spans="1:14" ht="15.75" x14ac:dyDescent="0.25">
      <c r="A103">
        <v>101</v>
      </c>
      <c r="B103" s="1" t="s">
        <v>95</v>
      </c>
      <c r="C103" s="5" t="s">
        <v>118</v>
      </c>
      <c r="D103" s="1">
        <v>6206</v>
      </c>
      <c r="E103" s="6">
        <v>7228</v>
      </c>
      <c r="F103" s="6">
        <v>1081</v>
      </c>
      <c r="G103" s="6">
        <v>1584</v>
      </c>
      <c r="H103" s="7">
        <f>G103/F103*100</f>
        <v>146.53098982423683</v>
      </c>
      <c r="I103" s="8">
        <f>G103/(E103/100000)</f>
        <v>21914.775871610404</v>
      </c>
      <c r="J103" s="1">
        <v>5</v>
      </c>
      <c r="K103" s="9">
        <f>I103/100000</f>
        <v>0.21914775871610404</v>
      </c>
      <c r="L103" s="1">
        <v>0.45700000000000002</v>
      </c>
      <c r="M103" s="10">
        <v>0.316</v>
      </c>
      <c r="N103" s="9">
        <f>0.3328+(0.3351*K103)-(0.3324*L103)+(0.333*M102)</f>
        <v>0.3681823139457665</v>
      </c>
    </row>
    <row r="104" spans="1:14" ht="15.75" x14ac:dyDescent="0.25">
      <c r="A104">
        <v>102</v>
      </c>
      <c r="B104" s="1" t="s">
        <v>95</v>
      </c>
      <c r="C104" s="5" t="s">
        <v>119</v>
      </c>
      <c r="D104" s="1">
        <v>6301</v>
      </c>
      <c r="E104" s="6">
        <v>75585</v>
      </c>
      <c r="F104" s="6">
        <v>14159</v>
      </c>
      <c r="G104" s="6">
        <v>11176</v>
      </c>
      <c r="H104" s="7">
        <f>G104/F104*100</f>
        <v>78.932127975139494</v>
      </c>
      <c r="I104" s="8">
        <f>G104/(E104/100000)</f>
        <v>14786.002513726267</v>
      </c>
      <c r="J104" s="1">
        <v>4</v>
      </c>
      <c r="K104" s="9">
        <f>I104/100000</f>
        <v>0.14786002513726268</v>
      </c>
      <c r="L104" s="1">
        <v>0.626</v>
      </c>
      <c r="M104" s="10">
        <v>0.28339999999999999</v>
      </c>
      <c r="N104" s="9">
        <f>0.3328+(0.3351*K104)-(0.3324*L104)+(0.333*M103)</f>
        <v>0.27949349442349675</v>
      </c>
    </row>
    <row r="105" spans="1:14" ht="15.75" x14ac:dyDescent="0.25">
      <c r="A105">
        <v>103</v>
      </c>
      <c r="B105" s="1" t="s">
        <v>95</v>
      </c>
      <c r="C105" s="5" t="s">
        <v>120</v>
      </c>
      <c r="D105" s="1">
        <v>6302</v>
      </c>
      <c r="E105" s="6">
        <v>15668</v>
      </c>
      <c r="F105" s="6">
        <v>2565</v>
      </c>
      <c r="G105" s="6">
        <v>2896</v>
      </c>
      <c r="H105" s="7">
        <f>G105/F105*100</f>
        <v>112.90448343079922</v>
      </c>
      <c r="I105" s="8">
        <f>G105/(E105/100000)</f>
        <v>18483.533316313504</v>
      </c>
      <c r="J105" s="1">
        <v>5</v>
      </c>
      <c r="K105" s="9">
        <f>I105/100000</f>
        <v>0.18483533316313502</v>
      </c>
      <c r="L105" s="1">
        <v>0.496</v>
      </c>
      <c r="M105" s="10">
        <v>0.19719999999999999</v>
      </c>
      <c r="N105" s="9">
        <f>0.3328+(0.3351*K105)-(0.3324*L105)+(0.333*M104)</f>
        <v>0.32424012014296655</v>
      </c>
    </row>
    <row r="106" spans="1:14" ht="15.75" x14ac:dyDescent="0.25">
      <c r="A106">
        <v>104</v>
      </c>
      <c r="B106" s="1" t="s">
        <v>95</v>
      </c>
      <c r="C106" s="5" t="s">
        <v>121</v>
      </c>
      <c r="D106" s="1">
        <v>6303</v>
      </c>
      <c r="E106" s="6">
        <v>37258</v>
      </c>
      <c r="F106" s="6">
        <v>6597</v>
      </c>
      <c r="G106" s="6">
        <v>5671</v>
      </c>
      <c r="H106" s="7">
        <f>G106/F106*100</f>
        <v>85.963316659087468</v>
      </c>
      <c r="I106" s="8">
        <f>G106/(E106/100000)</f>
        <v>15220.892157389017</v>
      </c>
      <c r="J106" s="1">
        <v>4</v>
      </c>
      <c r="K106" s="9">
        <f>I106/100000</f>
        <v>0.15220892157389015</v>
      </c>
      <c r="L106" s="1">
        <v>0.55600000000000005</v>
      </c>
      <c r="M106" s="10">
        <v>0.2772</v>
      </c>
      <c r="N106" s="9">
        <f>0.3328+(0.3351*K106)-(0.3324*L106)+(0.333*M105)</f>
        <v>0.26465840961941056</v>
      </c>
    </row>
    <row r="107" spans="1:14" ht="15.75" x14ac:dyDescent="0.25">
      <c r="A107">
        <v>105</v>
      </c>
      <c r="B107" s="1" t="s">
        <v>95</v>
      </c>
      <c r="C107" s="5" t="s">
        <v>122</v>
      </c>
      <c r="D107" s="1">
        <v>6304</v>
      </c>
      <c r="E107" s="6">
        <v>7791</v>
      </c>
      <c r="F107" s="6">
        <v>1243</v>
      </c>
      <c r="G107" s="6">
        <v>1502</v>
      </c>
      <c r="H107" s="7">
        <f>G107/F107*100</f>
        <v>120.83668543845536</v>
      </c>
      <c r="I107" s="8">
        <f>G107/(E107/100000)</f>
        <v>19278.654858169684</v>
      </c>
      <c r="J107" s="1">
        <v>5</v>
      </c>
      <c r="K107" s="9">
        <f>I107/100000</f>
        <v>0.19278654858169683</v>
      </c>
      <c r="L107" s="1">
        <v>0.51100000000000001</v>
      </c>
      <c r="M107" s="10">
        <v>0.70650000000000002</v>
      </c>
      <c r="N107" s="9">
        <f>0.3328+(0.3351*K107)-(0.3324*L107)+(0.333*M106)</f>
        <v>0.31985397242972663</v>
      </c>
    </row>
    <row r="108" spans="1:14" ht="15.75" x14ac:dyDescent="0.25">
      <c r="A108">
        <v>106</v>
      </c>
      <c r="B108" s="1" t="s">
        <v>95</v>
      </c>
      <c r="C108" s="5" t="s">
        <v>123</v>
      </c>
      <c r="D108" s="1">
        <v>6305</v>
      </c>
      <c r="E108" s="6">
        <v>18723</v>
      </c>
      <c r="F108" s="6">
        <v>3295</v>
      </c>
      <c r="G108" s="6">
        <v>2855</v>
      </c>
      <c r="H108" s="7">
        <f>G108/F108*100</f>
        <v>86.646433990895304</v>
      </c>
      <c r="I108" s="8">
        <f>G108/(E108/100000)</f>
        <v>15248.624686214815</v>
      </c>
      <c r="J108" s="1">
        <v>4</v>
      </c>
      <c r="K108" s="9">
        <f>I108/100000</f>
        <v>0.15248624686214815</v>
      </c>
      <c r="L108" s="1">
        <v>0.53900000000000003</v>
      </c>
      <c r="M108" s="10">
        <v>0.53720000000000001</v>
      </c>
      <c r="N108" s="9">
        <f>0.3328+(0.3351*K108)-(0.3324*L108)+(0.333*M107)</f>
        <v>0.43999904132350587</v>
      </c>
    </row>
    <row r="109" spans="1:14" ht="15.75" x14ac:dyDescent="0.25">
      <c r="A109">
        <v>107</v>
      </c>
      <c r="B109" s="1" t="s">
        <v>95</v>
      </c>
      <c r="C109" s="5" t="s">
        <v>124</v>
      </c>
      <c r="D109" s="1">
        <v>6306</v>
      </c>
      <c r="E109" s="6">
        <v>13060</v>
      </c>
      <c r="F109" s="6">
        <v>2159</v>
      </c>
      <c r="G109" s="6">
        <v>2231</v>
      </c>
      <c r="H109" s="7">
        <f>G109/F109*100</f>
        <v>103.33487725798982</v>
      </c>
      <c r="I109" s="8">
        <f>G109/(E109/100000)</f>
        <v>17082.69525267994</v>
      </c>
      <c r="J109" s="1">
        <v>4</v>
      </c>
      <c r="K109" s="9">
        <f>I109/100000</f>
        <v>0.17082695252679939</v>
      </c>
      <c r="L109" s="1">
        <v>0.57499999999999996</v>
      </c>
      <c r="M109" s="10">
        <v>0.18529999999999999</v>
      </c>
      <c r="N109" s="9">
        <f>0.3328+(0.3351*K109)-(0.3324*L109)+(0.333*M108)</f>
        <v>0.3778017117917305</v>
      </c>
    </row>
    <row r="110" spans="1:14" ht="15.75" x14ac:dyDescent="0.25">
      <c r="A110">
        <v>108</v>
      </c>
      <c r="B110" s="1" t="s">
        <v>95</v>
      </c>
      <c r="C110" s="5" t="s">
        <v>125</v>
      </c>
      <c r="D110" s="1">
        <v>6307</v>
      </c>
      <c r="E110" s="6">
        <v>12493</v>
      </c>
      <c r="F110" s="6">
        <v>2048</v>
      </c>
      <c r="G110" s="6">
        <v>2153</v>
      </c>
      <c r="H110" s="7">
        <f>G110/F110*100</f>
        <v>105.126953125</v>
      </c>
      <c r="I110" s="8">
        <f>G110/(E110/100000)</f>
        <v>17233.650844472904</v>
      </c>
      <c r="J110" s="1">
        <v>5</v>
      </c>
      <c r="K110" s="9">
        <f>I110/100000</f>
        <v>0.17233650844472903</v>
      </c>
      <c r="L110" s="1">
        <v>0.56699999999999995</v>
      </c>
      <c r="M110" s="10">
        <v>0.33760000000000001</v>
      </c>
      <c r="N110" s="9">
        <f>0.3328+(0.3351*K110)-(0.3324*L110)+(0.333*M109)</f>
        <v>0.26378406397982868</v>
      </c>
    </row>
    <row r="111" spans="1:14" ht="15.75" x14ac:dyDescent="0.25">
      <c r="A111">
        <v>109</v>
      </c>
      <c r="B111" s="1" t="s">
        <v>95</v>
      </c>
      <c r="C111" s="5" t="s">
        <v>126</v>
      </c>
      <c r="D111" s="1">
        <v>6308</v>
      </c>
      <c r="E111" s="6">
        <v>9438</v>
      </c>
      <c r="F111" s="6">
        <v>1639</v>
      </c>
      <c r="G111" s="6">
        <v>1553</v>
      </c>
      <c r="H111" s="7">
        <f>G111/F111*100</f>
        <v>94.752898108602807</v>
      </c>
      <c r="I111" s="8">
        <f>G111/(E111/100000)</f>
        <v>16454.757363848272</v>
      </c>
      <c r="J111" s="1">
        <v>5</v>
      </c>
      <c r="K111" s="9">
        <f>I111/100000</f>
        <v>0.16454757363848271</v>
      </c>
      <c r="L111" s="1">
        <v>0.55500000000000005</v>
      </c>
      <c r="M111" s="10">
        <v>0.35289999999999999</v>
      </c>
      <c r="N111" s="9">
        <f>0.3328+(0.3351*K111)-(0.3324*L111)+(0.333*M110)</f>
        <v>0.31587869192625556</v>
      </c>
    </row>
    <row r="112" spans="1:14" ht="15.75" x14ac:dyDescent="0.25">
      <c r="A112">
        <v>110</v>
      </c>
      <c r="B112" s="1" t="s">
        <v>95</v>
      </c>
      <c r="C112" s="5" t="s">
        <v>127</v>
      </c>
      <c r="D112" s="1">
        <v>6309</v>
      </c>
      <c r="E112" s="6">
        <v>4559</v>
      </c>
      <c r="F112" s="6">
        <v>669</v>
      </c>
      <c r="G112" s="6">
        <v>1032</v>
      </c>
      <c r="H112" s="7">
        <f>G112/F112*100</f>
        <v>154.26008968609867</v>
      </c>
      <c r="I112" s="8">
        <f>G112/(E112/100000)</f>
        <v>22636.543101557359</v>
      </c>
      <c r="J112" s="1">
        <v>5</v>
      </c>
      <c r="K112" s="9">
        <f>I112/100000</f>
        <v>0.2263654310155736</v>
      </c>
      <c r="L112" s="1">
        <v>0.48899999999999999</v>
      </c>
      <c r="M112" s="10">
        <v>0.48230000000000001</v>
      </c>
      <c r="N112" s="9">
        <f>0.3328+(0.3351*K112)-(0.3324*L112)+(0.333*M111)</f>
        <v>0.36362715593331874</v>
      </c>
    </row>
    <row r="113" spans="1:14" ht="15.75" x14ac:dyDescent="0.25">
      <c r="A113">
        <v>111</v>
      </c>
      <c r="B113" s="1" t="s">
        <v>95</v>
      </c>
      <c r="C113" s="5" t="s">
        <v>128</v>
      </c>
      <c r="D113" s="1">
        <v>6310</v>
      </c>
      <c r="E113" s="6">
        <v>41209</v>
      </c>
      <c r="F113" s="6">
        <v>7301</v>
      </c>
      <c r="G113" s="6">
        <v>6439</v>
      </c>
      <c r="H113" s="7">
        <f>G113/F113*100</f>
        <v>88.193398164634985</v>
      </c>
      <c r="I113" s="8">
        <f>G113/(E113/100000)</f>
        <v>15625.227498847338</v>
      </c>
      <c r="J113" s="1">
        <v>4</v>
      </c>
      <c r="K113" s="9">
        <f>I113/100000</f>
        <v>0.15625227498847338</v>
      </c>
      <c r="L113" s="1">
        <v>0.59599999999999997</v>
      </c>
      <c r="M113" s="10">
        <v>0.22750000000000001</v>
      </c>
      <c r="N113" s="9">
        <f>0.3328+(0.3351*K113)-(0.3324*L113)+(0.333*M112)</f>
        <v>0.34765563734863747</v>
      </c>
    </row>
    <row r="114" spans="1:14" ht="15.75" x14ac:dyDescent="0.25">
      <c r="A114">
        <v>112</v>
      </c>
      <c r="B114" s="1" t="s">
        <v>129</v>
      </c>
      <c r="C114" s="5" t="s">
        <v>130</v>
      </c>
      <c r="D114" s="1">
        <v>7101</v>
      </c>
      <c r="E114" s="6">
        <v>232131</v>
      </c>
      <c r="F114" s="6">
        <v>40405</v>
      </c>
      <c r="G114" s="6">
        <v>34043</v>
      </c>
      <c r="H114" s="7">
        <f>G114/F114*100</f>
        <v>84.254423957431015</v>
      </c>
      <c r="I114" s="8">
        <f>G114/(E114/100000)</f>
        <v>14665.425987911998</v>
      </c>
      <c r="J114" s="1">
        <v>1</v>
      </c>
      <c r="K114" s="9">
        <f>I114/100000</f>
        <v>0.14665425987911998</v>
      </c>
      <c r="L114" s="1">
        <v>0.65800000000000003</v>
      </c>
      <c r="M114" s="10">
        <v>0.24940000000000001</v>
      </c>
      <c r="N114" s="9">
        <f>0.3328+(0.3351*K114)-(0.3324*L114)+(0.333*M113)</f>
        <v>0.23898214248549307</v>
      </c>
    </row>
    <row r="115" spans="1:14" ht="15.75" x14ac:dyDescent="0.25">
      <c r="A115">
        <v>113</v>
      </c>
      <c r="B115" s="1" t="s">
        <v>129</v>
      </c>
      <c r="C115" s="5" t="s">
        <v>131</v>
      </c>
      <c r="D115" s="1">
        <v>7102</v>
      </c>
      <c r="E115" s="6">
        <v>47004</v>
      </c>
      <c r="F115" s="6">
        <v>8982</v>
      </c>
      <c r="G115" s="6">
        <v>6583</v>
      </c>
      <c r="H115" s="7">
        <f>G115/F115*100</f>
        <v>73.291026497439333</v>
      </c>
      <c r="I115" s="8">
        <f>G115/(E115/100000)</f>
        <v>14005.191047570419</v>
      </c>
      <c r="J115" s="1">
        <v>3</v>
      </c>
      <c r="K115" s="9">
        <f>I115/100000</f>
        <v>0.1400519104757042</v>
      </c>
      <c r="L115" s="1">
        <v>0.58199999999999996</v>
      </c>
      <c r="M115" s="10">
        <v>0.28260000000000002</v>
      </c>
      <c r="N115" s="9">
        <f>0.3328+(0.3351*K115)-(0.3324*L115)+(0.333*M114)</f>
        <v>0.26932479520040847</v>
      </c>
    </row>
    <row r="116" spans="1:14" ht="15.75" x14ac:dyDescent="0.25">
      <c r="A116">
        <v>114</v>
      </c>
      <c r="B116" s="1" t="s">
        <v>129</v>
      </c>
      <c r="C116" s="5" t="s">
        <v>132</v>
      </c>
      <c r="D116" s="1">
        <v>7103</v>
      </c>
      <c r="E116" s="6">
        <v>9519</v>
      </c>
      <c r="F116" s="6">
        <v>1240</v>
      </c>
      <c r="G116" s="6">
        <v>2281</v>
      </c>
      <c r="H116" s="7">
        <f>G116/F116*100</f>
        <v>183.95161290322582</v>
      </c>
      <c r="I116" s="8">
        <f>G116/(E116/100000)</f>
        <v>23962.601113562348</v>
      </c>
      <c r="J116" s="1">
        <v>5</v>
      </c>
      <c r="K116" s="9">
        <f>I116/100000</f>
        <v>0.23962601113562348</v>
      </c>
      <c r="L116" s="1">
        <v>0.5</v>
      </c>
      <c r="M116" s="10">
        <v>0.2762</v>
      </c>
      <c r="N116" s="9">
        <f>0.3328+(0.3351*K116)-(0.3324*L116)+(0.333*M115)</f>
        <v>0.3410044763315474</v>
      </c>
    </row>
    <row r="117" spans="1:14" ht="15.75" x14ac:dyDescent="0.25">
      <c r="A117">
        <v>115</v>
      </c>
      <c r="B117" s="1" t="s">
        <v>129</v>
      </c>
      <c r="C117" s="5" t="s">
        <v>133</v>
      </c>
      <c r="D117" s="1">
        <v>7104</v>
      </c>
      <c r="E117" s="6">
        <v>3990</v>
      </c>
      <c r="F117" s="6">
        <v>705</v>
      </c>
      <c r="G117" s="6">
        <v>634</v>
      </c>
      <c r="H117" s="7">
        <f>G117/F117*100</f>
        <v>89.929078014184398</v>
      </c>
      <c r="I117" s="8">
        <f>G117/(E117/100000)</f>
        <v>15889.724310776943</v>
      </c>
      <c r="J117" s="1">
        <v>5</v>
      </c>
      <c r="K117" s="9">
        <f>I117/100000</f>
        <v>0.15889724310776943</v>
      </c>
      <c r="L117" s="1">
        <v>0.45300000000000001</v>
      </c>
      <c r="M117" s="10">
        <v>0.38169999999999998</v>
      </c>
      <c r="N117" s="9">
        <f>0.3328+(0.3351*K117)-(0.3324*L117)+(0.333*M116)</f>
        <v>0.32744386616541349</v>
      </c>
    </row>
    <row r="118" spans="1:14" ht="15.75" x14ac:dyDescent="0.25">
      <c r="A118">
        <v>116</v>
      </c>
      <c r="B118" s="1" t="s">
        <v>129</v>
      </c>
      <c r="C118" s="5" t="s">
        <v>129</v>
      </c>
      <c r="D118" s="1">
        <v>7105</v>
      </c>
      <c r="E118" s="6">
        <v>61081</v>
      </c>
      <c r="F118" s="6">
        <v>13674</v>
      </c>
      <c r="G118" s="6">
        <v>5112</v>
      </c>
      <c r="H118" s="7">
        <f>G118/F118*100</f>
        <v>37.384817902588857</v>
      </c>
      <c r="I118" s="8">
        <f>G118/(E118/100000)</f>
        <v>8369.2146493999771</v>
      </c>
      <c r="J118" s="1">
        <v>5</v>
      </c>
      <c r="K118" s="9">
        <f>I118/100000</f>
        <v>8.3692146493999767E-2</v>
      </c>
      <c r="L118" s="1">
        <v>0.61399999999999999</v>
      </c>
      <c r="M118" s="10">
        <v>0.26650000000000001</v>
      </c>
      <c r="N118" s="9">
        <f>0.3328+(0.3351*K118)-(0.3324*L118)+(0.333*M117)</f>
        <v>0.28385773829013933</v>
      </c>
    </row>
    <row r="119" spans="1:14" ht="15.75" x14ac:dyDescent="0.25">
      <c r="A119">
        <v>117</v>
      </c>
      <c r="B119" s="1" t="s">
        <v>129</v>
      </c>
      <c r="C119" s="5" t="s">
        <v>134</v>
      </c>
      <c r="D119" s="1">
        <v>7106</v>
      </c>
      <c r="E119" s="6">
        <v>9229</v>
      </c>
      <c r="F119" s="6">
        <v>1649</v>
      </c>
      <c r="G119" s="6">
        <v>1604</v>
      </c>
      <c r="H119" s="7">
        <f>G119/F119*100</f>
        <v>97.271073377804726</v>
      </c>
      <c r="I119" s="8">
        <f>G119/(E119/100000)</f>
        <v>17379.997832917976</v>
      </c>
      <c r="J119" s="1">
        <v>5</v>
      </c>
      <c r="K119" s="9">
        <f>I119/100000</f>
        <v>0.17379997832917976</v>
      </c>
      <c r="L119" s="1">
        <v>0.56200000000000006</v>
      </c>
      <c r="M119" s="10">
        <v>0.2127</v>
      </c>
      <c r="N119" s="9">
        <f>0.3328+(0.3351*K119)-(0.3324*L119)+(0.333*M118)</f>
        <v>0.29297607273810811</v>
      </c>
    </row>
    <row r="120" spans="1:14" ht="15.75" x14ac:dyDescent="0.25">
      <c r="A120">
        <v>118</v>
      </c>
      <c r="B120" s="1" t="s">
        <v>129</v>
      </c>
      <c r="C120" s="5" t="s">
        <v>135</v>
      </c>
      <c r="D120" s="1">
        <v>7107</v>
      </c>
      <c r="E120" s="6">
        <v>9181</v>
      </c>
      <c r="F120" s="6">
        <v>1446</v>
      </c>
      <c r="G120" s="6">
        <v>1609</v>
      </c>
      <c r="H120" s="7">
        <f>G120/F120*100</f>
        <v>111.27247579529738</v>
      </c>
      <c r="I120" s="8">
        <f>G120/(E120/100000)</f>
        <v>17525.324038775732</v>
      </c>
      <c r="J120" s="1">
        <v>5</v>
      </c>
      <c r="K120" s="9">
        <f>I120/100000</f>
        <v>0.17525324038775733</v>
      </c>
      <c r="L120" s="1">
        <v>0.58799999999999997</v>
      </c>
      <c r="M120" s="10">
        <v>0.29720000000000002</v>
      </c>
      <c r="N120" s="9">
        <f>0.3328+(0.3351*K120)-(0.3324*L120)+(0.333*M119)</f>
        <v>0.26690526085393751</v>
      </c>
    </row>
    <row r="121" spans="1:14" ht="15.75" x14ac:dyDescent="0.25">
      <c r="A121">
        <v>119</v>
      </c>
      <c r="B121" s="1" t="s">
        <v>129</v>
      </c>
      <c r="C121" s="5" t="s">
        <v>136</v>
      </c>
      <c r="D121" s="1">
        <v>7108</v>
      </c>
      <c r="E121" s="6">
        <v>14276</v>
      </c>
      <c r="F121" s="6">
        <v>2438</v>
      </c>
      <c r="G121" s="6">
        <v>2475</v>
      </c>
      <c r="H121" s="7">
        <f>G121/F121*100</f>
        <v>101.51763740771125</v>
      </c>
      <c r="I121" s="8">
        <f>G121/(E121/100000)</f>
        <v>17336.789016531242</v>
      </c>
      <c r="J121" s="1">
        <v>5</v>
      </c>
      <c r="K121" s="9">
        <f>I121/100000</f>
        <v>0.17336789016531243</v>
      </c>
      <c r="L121" s="1">
        <v>0.51900000000000002</v>
      </c>
      <c r="M121" s="10">
        <v>0.2467</v>
      </c>
      <c r="N121" s="9">
        <f>0.3328+(0.3351*K121)-(0.3324*L121)+(0.333*M120)</f>
        <v>0.31734757999439622</v>
      </c>
    </row>
    <row r="122" spans="1:14" ht="15.75" x14ac:dyDescent="0.25">
      <c r="A122">
        <v>120</v>
      </c>
      <c r="B122" s="1" t="s">
        <v>129</v>
      </c>
      <c r="C122" s="5" t="s">
        <v>137</v>
      </c>
      <c r="D122" s="1">
        <v>7109</v>
      </c>
      <c r="E122" s="6">
        <v>47380</v>
      </c>
      <c r="F122" s="6">
        <v>8878</v>
      </c>
      <c r="G122" s="6">
        <v>7256</v>
      </c>
      <c r="H122" s="7">
        <f>G122/F122*100</f>
        <v>81.73011939626042</v>
      </c>
      <c r="I122" s="8">
        <f>G122/(E122/100000)</f>
        <v>15314.478682988603</v>
      </c>
      <c r="J122" s="1">
        <v>5</v>
      </c>
      <c r="K122" s="9">
        <f>I122/100000</f>
        <v>0.15314478682988603</v>
      </c>
      <c r="L122" s="1">
        <v>0.52300000000000002</v>
      </c>
      <c r="M122" s="10">
        <v>0.30690000000000001</v>
      </c>
      <c r="N122" s="9">
        <f>0.3328+(0.3351*K122)-(0.3324*L122)+(0.333*M121)</f>
        <v>0.29242471806669479</v>
      </c>
    </row>
    <row r="123" spans="1:14" ht="15.75" x14ac:dyDescent="0.25">
      <c r="A123">
        <v>121</v>
      </c>
      <c r="B123" s="1" t="s">
        <v>129</v>
      </c>
      <c r="C123" s="5" t="s">
        <v>138</v>
      </c>
      <c r="D123" s="1">
        <v>7110</v>
      </c>
      <c r="E123" s="6">
        <v>11230</v>
      </c>
      <c r="F123" s="6">
        <v>2129</v>
      </c>
      <c r="G123" s="6">
        <v>1748</v>
      </c>
      <c r="H123" s="7">
        <f>G123/F123*100</f>
        <v>82.104274307186472</v>
      </c>
      <c r="I123" s="8">
        <f>G123/(E123/100000)</f>
        <v>15565.449688334818</v>
      </c>
      <c r="J123" s="1">
        <v>5</v>
      </c>
      <c r="K123" s="9">
        <f>I123/100000</f>
        <v>0.15565449688334818</v>
      </c>
      <c r="L123" s="1">
        <v>0.54100000000000004</v>
      </c>
      <c r="M123" s="10">
        <v>0.48630000000000001</v>
      </c>
      <c r="N123" s="9">
        <f>0.3328+(0.3351*K123)-(0.3324*L123)+(0.333*M122)</f>
        <v>0.30732912190560996</v>
      </c>
    </row>
    <row r="124" spans="1:14" ht="15.75" x14ac:dyDescent="0.25">
      <c r="A124">
        <v>122</v>
      </c>
      <c r="B124" s="1" t="s">
        <v>129</v>
      </c>
      <c r="C124" s="5" t="s">
        <v>139</v>
      </c>
      <c r="D124" s="1">
        <v>7201</v>
      </c>
      <c r="E124" s="6">
        <v>42798</v>
      </c>
      <c r="F124" s="6">
        <v>7540</v>
      </c>
      <c r="G124" s="6">
        <v>8009</v>
      </c>
      <c r="H124" s="7">
        <f>G124/F124*100</f>
        <v>106.22015915119363</v>
      </c>
      <c r="I124" s="8">
        <f>G124/(E124/100000)</f>
        <v>18713.491284639469</v>
      </c>
      <c r="J124" s="1">
        <v>3</v>
      </c>
      <c r="K124" s="9">
        <f>I124/100000</f>
        <v>0.18713491284639469</v>
      </c>
      <c r="L124" s="1">
        <v>0.54400000000000004</v>
      </c>
      <c r="M124" s="10">
        <v>0.24690000000000001</v>
      </c>
      <c r="N124" s="9">
        <f>0.3328+(0.3351*K124)-(0.3324*L124)+(0.333*M123)</f>
        <v>0.3766212092948269</v>
      </c>
    </row>
    <row r="125" spans="1:14" ht="15.75" x14ac:dyDescent="0.25">
      <c r="A125">
        <v>123</v>
      </c>
      <c r="B125" s="1" t="s">
        <v>129</v>
      </c>
      <c r="C125" s="5" t="s">
        <v>140</v>
      </c>
      <c r="D125" s="1">
        <v>7202</v>
      </c>
      <c r="E125" s="6">
        <v>9446</v>
      </c>
      <c r="F125" s="6">
        <v>1569</v>
      </c>
      <c r="G125" s="6">
        <v>1747</v>
      </c>
      <c r="H125" s="7">
        <f>G125/F125*100</f>
        <v>111.34480560866795</v>
      </c>
      <c r="I125" s="8">
        <f>G125/(E125/100000)</f>
        <v>18494.600889265297</v>
      </c>
      <c r="J125" s="1">
        <v>5</v>
      </c>
      <c r="K125" s="9">
        <f>I125/100000</f>
        <v>0.18494600889265297</v>
      </c>
      <c r="L125" s="1">
        <v>0.51300000000000001</v>
      </c>
      <c r="M125" s="10">
        <v>0.442</v>
      </c>
      <c r="N125" s="9">
        <f>0.3328+(0.3351*K125)-(0.3324*L125)+(0.333*M124)</f>
        <v>0.30647190757992804</v>
      </c>
    </row>
    <row r="126" spans="1:14" ht="15.75" x14ac:dyDescent="0.25">
      <c r="A126">
        <v>124</v>
      </c>
      <c r="B126" s="1" t="s">
        <v>129</v>
      </c>
      <c r="C126" s="5" t="s">
        <v>141</v>
      </c>
      <c r="D126" s="1">
        <v>7203</v>
      </c>
      <c r="E126" s="6">
        <v>8578</v>
      </c>
      <c r="F126" s="6">
        <v>1497</v>
      </c>
      <c r="G126" s="6">
        <v>1717</v>
      </c>
      <c r="H126" s="7">
        <f>G126/F126*100</f>
        <v>114.69605878423515</v>
      </c>
      <c r="I126" s="8">
        <f>G126/(E126/100000)</f>
        <v>20016.320820704128</v>
      </c>
      <c r="J126" s="1">
        <v>5</v>
      </c>
      <c r="K126" s="9">
        <f>I126/100000</f>
        <v>0.20016320820704128</v>
      </c>
      <c r="L126" s="1">
        <v>0.53800000000000003</v>
      </c>
      <c r="M126" s="10">
        <v>0.19400000000000001</v>
      </c>
      <c r="N126" s="9">
        <f>0.3328+(0.3351*K126)-(0.3324*L126)+(0.333*M125)</f>
        <v>0.36822949107017955</v>
      </c>
    </row>
    <row r="127" spans="1:14" ht="15.75" x14ac:dyDescent="0.25">
      <c r="A127">
        <v>125</v>
      </c>
      <c r="B127" s="1" t="s">
        <v>129</v>
      </c>
      <c r="C127" s="5" t="s">
        <v>142</v>
      </c>
      <c r="D127" s="1">
        <v>7301</v>
      </c>
      <c r="E127" s="6">
        <v>159968</v>
      </c>
      <c r="F127" s="6">
        <v>29580</v>
      </c>
      <c r="G127" s="6">
        <v>21895</v>
      </c>
      <c r="H127" s="7">
        <f>G127/F127*100</f>
        <v>74.019607843137265</v>
      </c>
      <c r="I127" s="8">
        <f>G127/(E127/100000)</f>
        <v>13687.112422484497</v>
      </c>
      <c r="J127" s="1">
        <v>2</v>
      </c>
      <c r="K127" s="9">
        <f>I127/100000</f>
        <v>0.13687112422484496</v>
      </c>
      <c r="L127" s="1">
        <v>0.624</v>
      </c>
      <c r="M127" s="10">
        <v>0.23139999999999999</v>
      </c>
      <c r="N127" s="9">
        <f>0.3328+(0.3351*K127)-(0.3324*L127)+(0.333*M126)</f>
        <v>0.23584991372774555</v>
      </c>
    </row>
    <row r="128" spans="1:14" ht="15.75" x14ac:dyDescent="0.25">
      <c r="A128">
        <v>126</v>
      </c>
      <c r="B128" s="1" t="s">
        <v>129</v>
      </c>
      <c r="C128" s="5" t="s">
        <v>143</v>
      </c>
      <c r="D128" s="1">
        <v>7302</v>
      </c>
      <c r="E128" s="6">
        <v>10775</v>
      </c>
      <c r="F128" s="6">
        <v>1703</v>
      </c>
      <c r="G128" s="6">
        <v>2157</v>
      </c>
      <c r="H128" s="7">
        <f>G128/F128*100</f>
        <v>126.65883734586025</v>
      </c>
      <c r="I128" s="8">
        <f>G128/(E128/100000)</f>
        <v>20018.561484918795</v>
      </c>
      <c r="J128" s="1">
        <v>5</v>
      </c>
      <c r="K128" s="9">
        <f>I128/100000</f>
        <v>0.20018561484918795</v>
      </c>
      <c r="L128" s="1">
        <v>0.51600000000000001</v>
      </c>
      <c r="M128" s="10">
        <v>0.45029999999999998</v>
      </c>
      <c r="N128" s="9">
        <f>0.3328+(0.3351*K128)-(0.3324*L128)+(0.333*M127)</f>
        <v>0.30541999953596288</v>
      </c>
    </row>
    <row r="129" spans="1:14" ht="15.75" x14ac:dyDescent="0.25">
      <c r="A129">
        <v>127</v>
      </c>
      <c r="B129" s="1" t="s">
        <v>129</v>
      </c>
      <c r="C129" s="5" t="s">
        <v>144</v>
      </c>
      <c r="D129" s="1">
        <v>7303</v>
      </c>
      <c r="E129" s="6">
        <v>6892</v>
      </c>
      <c r="F129" s="6">
        <v>1095</v>
      </c>
      <c r="G129" s="6">
        <v>1290</v>
      </c>
      <c r="H129" s="7">
        <f>G129/F129*100</f>
        <v>117.8082191780822</v>
      </c>
      <c r="I129" s="8">
        <f>G129/(E129/100000)</f>
        <v>18717.353453279167</v>
      </c>
      <c r="J129" s="1">
        <v>5</v>
      </c>
      <c r="K129" s="9">
        <f>I129/100000</f>
        <v>0.18717353453279167</v>
      </c>
      <c r="L129" s="1">
        <v>0.56999999999999995</v>
      </c>
      <c r="M129" s="10">
        <v>0.4839</v>
      </c>
      <c r="N129" s="9">
        <f>0.3328+(0.3351*K129)-(0.3324*L129)+(0.333*M128)</f>
        <v>0.35600375142193852</v>
      </c>
    </row>
    <row r="130" spans="1:14" ht="15.75" x14ac:dyDescent="0.25">
      <c r="A130">
        <v>128</v>
      </c>
      <c r="B130" s="1" t="s">
        <v>129</v>
      </c>
      <c r="C130" s="5" t="s">
        <v>145</v>
      </c>
      <c r="D130" s="1">
        <v>7304</v>
      </c>
      <c r="E130" s="6">
        <v>48949</v>
      </c>
      <c r="F130" s="6">
        <v>8813</v>
      </c>
      <c r="G130" s="6">
        <v>7587</v>
      </c>
      <c r="H130" s="7">
        <f>G130/F130*100</f>
        <v>86.08873255418132</v>
      </c>
      <c r="I130" s="8">
        <f>G130/(E130/100000)</f>
        <v>15499.805920447814</v>
      </c>
      <c r="J130" s="1">
        <v>3</v>
      </c>
      <c r="K130" s="9">
        <f>I130/100000</f>
        <v>0.15499805920447815</v>
      </c>
      <c r="L130" s="1">
        <v>0.54400000000000004</v>
      </c>
      <c r="M130" s="10">
        <v>0.57569999999999999</v>
      </c>
      <c r="N130" s="9">
        <f>0.3328+(0.3351*K130)-(0.3324*L130)+(0.333*M129)</f>
        <v>0.36505294963942059</v>
      </c>
    </row>
    <row r="131" spans="1:14" ht="15.75" x14ac:dyDescent="0.25">
      <c r="A131">
        <v>129</v>
      </c>
      <c r="B131" s="1" t="s">
        <v>129</v>
      </c>
      <c r="C131" s="5" t="s">
        <v>146</v>
      </c>
      <c r="D131" s="1">
        <v>7305</v>
      </c>
      <c r="E131" s="6">
        <v>11266</v>
      </c>
      <c r="F131" s="6">
        <v>1904</v>
      </c>
      <c r="G131" s="6">
        <v>1886</v>
      </c>
      <c r="H131" s="7">
        <f>G131/F131*100</f>
        <v>99.054621848739501</v>
      </c>
      <c r="I131" s="8">
        <f>G131/(E131/100000)</f>
        <v>16740.63554056453</v>
      </c>
      <c r="J131" s="1">
        <v>5</v>
      </c>
      <c r="K131" s="9">
        <f>I131/100000</f>
        <v>0.1674063554056453</v>
      </c>
      <c r="L131" s="1">
        <v>0.53900000000000003</v>
      </c>
      <c r="M131" s="10">
        <v>0.54859999999999998</v>
      </c>
      <c r="N131" s="9">
        <f>0.3328+(0.3351*K131)-(0.3324*L131)+(0.333*M130)</f>
        <v>0.40144236969643171</v>
      </c>
    </row>
    <row r="132" spans="1:14" ht="15.75" x14ac:dyDescent="0.25">
      <c r="A132">
        <v>130</v>
      </c>
      <c r="B132" s="1" t="s">
        <v>129</v>
      </c>
      <c r="C132" s="5" t="s">
        <v>147</v>
      </c>
      <c r="D132" s="1">
        <v>7306</v>
      </c>
      <c r="E132" s="6">
        <v>17233</v>
      </c>
      <c r="F132" s="6">
        <v>3167</v>
      </c>
      <c r="G132" s="6">
        <v>2405</v>
      </c>
      <c r="H132" s="7">
        <f>G132/F132*100</f>
        <v>75.939374802652353</v>
      </c>
      <c r="I132" s="8">
        <f>G132/(E132/100000)</f>
        <v>13955.782510300005</v>
      </c>
      <c r="J132" s="1">
        <v>4</v>
      </c>
      <c r="K132" s="9">
        <f>I132/100000</f>
        <v>0.13955782510300005</v>
      </c>
      <c r="L132" s="1">
        <v>0.59499999999999997</v>
      </c>
      <c r="M132" s="10">
        <v>0.48899999999999999</v>
      </c>
      <c r="N132" s="9">
        <f>0.3328+(0.3351*K132)-(0.3324*L132)+(0.333*M131)</f>
        <v>0.36447162719201531</v>
      </c>
    </row>
    <row r="133" spans="1:14" ht="15.75" x14ac:dyDescent="0.25">
      <c r="A133">
        <v>131</v>
      </c>
      <c r="B133" s="1" t="s">
        <v>129</v>
      </c>
      <c r="C133" s="5" t="s">
        <v>148</v>
      </c>
      <c r="D133" s="1">
        <v>7307</v>
      </c>
      <c r="E133" s="6">
        <v>19427</v>
      </c>
      <c r="F133" s="6">
        <v>3258</v>
      </c>
      <c r="G133" s="6">
        <v>3109</v>
      </c>
      <c r="H133" s="7">
        <f>G133/F133*100</f>
        <v>95.426642111724973</v>
      </c>
      <c r="I133" s="8">
        <f>G133/(E133/100000)</f>
        <v>16003.500283111134</v>
      </c>
      <c r="J133" s="1">
        <v>5</v>
      </c>
      <c r="K133" s="9">
        <f>I133/100000</f>
        <v>0.16003500283111133</v>
      </c>
      <c r="L133" s="1">
        <v>0.56200000000000006</v>
      </c>
      <c r="M133" s="10">
        <v>0.26500000000000001</v>
      </c>
      <c r="N133" s="9">
        <f>0.3328+(0.3351*K133)-(0.3324*L133)+(0.333*M132)</f>
        <v>0.36245592944870542</v>
      </c>
    </row>
    <row r="134" spans="1:14" ht="15.75" x14ac:dyDescent="0.25">
      <c r="A134">
        <v>132</v>
      </c>
      <c r="B134" s="1" t="s">
        <v>129</v>
      </c>
      <c r="C134" s="5" t="s">
        <v>149</v>
      </c>
      <c r="D134" s="1">
        <v>7308</v>
      </c>
      <c r="E134" s="6">
        <v>30113</v>
      </c>
      <c r="F134" s="6">
        <v>5152</v>
      </c>
      <c r="G134" s="6">
        <v>4815</v>
      </c>
      <c r="H134" s="7">
        <f>G134/F134*100</f>
        <v>93.45885093167702</v>
      </c>
      <c r="I134" s="8">
        <f>G134/(E134/100000)</f>
        <v>15989.771859329858</v>
      </c>
      <c r="J134" s="1">
        <v>4</v>
      </c>
      <c r="K134" s="9">
        <f>I134/100000</f>
        <v>0.15989771859329857</v>
      </c>
      <c r="L134" s="1">
        <v>0.54500000000000004</v>
      </c>
      <c r="M134" s="10">
        <v>0.52650000000000008</v>
      </c>
      <c r="N134" s="9">
        <f>0.3328+(0.3351*K134)-(0.3324*L134)+(0.333*M133)</f>
        <v>0.29346872550061437</v>
      </c>
    </row>
    <row r="135" spans="1:14" ht="15.75" x14ac:dyDescent="0.25">
      <c r="A135">
        <v>133</v>
      </c>
      <c r="B135" s="1" t="s">
        <v>129</v>
      </c>
      <c r="C135" s="5" t="s">
        <v>150</v>
      </c>
      <c r="D135" s="1">
        <v>7309</v>
      </c>
      <c r="E135" s="6">
        <v>4716</v>
      </c>
      <c r="F135" s="6">
        <v>696</v>
      </c>
      <c r="G135" s="6">
        <v>956</v>
      </c>
      <c r="H135" s="7">
        <f>G135/F135*100</f>
        <v>137.35632183908046</v>
      </c>
      <c r="I135" s="8">
        <f>G135/(E135/100000)</f>
        <v>20271.416454622562</v>
      </c>
      <c r="J135" s="1">
        <v>4</v>
      </c>
      <c r="K135" s="9">
        <f>I135/100000</f>
        <v>0.20271416454622562</v>
      </c>
      <c r="L135" s="1">
        <v>0.56799999999999995</v>
      </c>
      <c r="M135" s="10">
        <v>0.3125</v>
      </c>
      <c r="N135" s="9">
        <f>0.3328+(0.3351*K135)-(0.3324*L135)+(0.333*M134)</f>
        <v>0.38725081653944027</v>
      </c>
    </row>
    <row r="136" spans="1:14" ht="15.75" x14ac:dyDescent="0.25">
      <c r="A136">
        <v>134</v>
      </c>
      <c r="B136" s="1" t="s">
        <v>129</v>
      </c>
      <c r="C136" s="5" t="s">
        <v>151</v>
      </c>
      <c r="D136" s="1">
        <v>7401</v>
      </c>
      <c r="E136" s="6">
        <v>96744</v>
      </c>
      <c r="F136" s="6">
        <v>17721</v>
      </c>
      <c r="G136" s="6">
        <v>15202</v>
      </c>
      <c r="H136" s="7">
        <f>G136/F136*100</f>
        <v>85.785226567349468</v>
      </c>
      <c r="I136" s="8">
        <f>G136/(E136/100000)</f>
        <v>15713.635987761516</v>
      </c>
      <c r="J136" s="1">
        <v>3</v>
      </c>
      <c r="K136" s="9">
        <f>I136/100000</f>
        <v>0.15713635987761515</v>
      </c>
      <c r="L136" s="1">
        <v>0.61899999999999999</v>
      </c>
      <c r="M136" s="10">
        <v>0.41299999999999998</v>
      </c>
      <c r="N136" s="9">
        <f>0.3328+(0.3351*K136)-(0.3324*L136)+(0.333*M135)</f>
        <v>0.28376329419498886</v>
      </c>
    </row>
    <row r="137" spans="1:14" ht="15.75" x14ac:dyDescent="0.25">
      <c r="A137">
        <v>135</v>
      </c>
      <c r="B137" s="1" t="s">
        <v>129</v>
      </c>
      <c r="C137" s="5" t="s">
        <v>152</v>
      </c>
      <c r="D137">
        <v>7402</v>
      </c>
      <c r="E137" s="6">
        <v>22637</v>
      </c>
      <c r="F137" s="6">
        <v>4149</v>
      </c>
      <c r="G137" s="6">
        <v>3770</v>
      </c>
      <c r="H137" s="7">
        <f>G137/F137*100</f>
        <v>90.865268739455288</v>
      </c>
      <c r="I137" s="8">
        <f>G137/(E137/100000)</f>
        <v>16654.150284931751</v>
      </c>
      <c r="J137" s="1">
        <v>5</v>
      </c>
      <c r="K137" s="9">
        <f>I137/100000</f>
        <v>0.16654150284931751</v>
      </c>
      <c r="L137" s="1">
        <v>0.56599999999999995</v>
      </c>
      <c r="M137" s="10">
        <v>0.53670000000000007</v>
      </c>
      <c r="N137" s="9">
        <f>0.3328+(0.3351*K137)-(0.3324*L137)+(0.333*M136)</f>
        <v>0.3379986576048063</v>
      </c>
    </row>
    <row r="138" spans="1:14" ht="15.75" x14ac:dyDescent="0.25">
      <c r="A138">
        <v>136</v>
      </c>
      <c r="B138" s="1" t="s">
        <v>129</v>
      </c>
      <c r="C138" s="5" t="s">
        <v>153</v>
      </c>
      <c r="D138" s="1">
        <v>7403</v>
      </c>
      <c r="E138" s="6">
        <v>33299</v>
      </c>
      <c r="F138" s="6">
        <v>5836</v>
      </c>
      <c r="G138" s="6">
        <v>5481</v>
      </c>
      <c r="H138" s="7">
        <f>G138/F138*100</f>
        <v>93.91706648389308</v>
      </c>
      <c r="I138" s="8">
        <f>G138/(E138/100000)</f>
        <v>16459.953752364934</v>
      </c>
      <c r="J138" s="1">
        <v>5</v>
      </c>
      <c r="K138" s="9">
        <f>I138/100000</f>
        <v>0.16459953752364934</v>
      </c>
      <c r="L138" s="1">
        <v>0.49199999999999999</v>
      </c>
      <c r="M138" s="10">
        <v>0.42730000000000001</v>
      </c>
      <c r="N138" s="9">
        <f>0.3328+(0.3351*K138)-(0.3324*L138)+(0.333*M137)</f>
        <v>0.40313760502417489</v>
      </c>
    </row>
    <row r="139" spans="1:14" ht="15.75" x14ac:dyDescent="0.25">
      <c r="A139">
        <v>137</v>
      </c>
      <c r="B139" s="1" t="s">
        <v>129</v>
      </c>
      <c r="C139" s="5" t="s">
        <v>154</v>
      </c>
      <c r="D139" s="1">
        <v>7404</v>
      </c>
      <c r="E139" s="6">
        <v>45323</v>
      </c>
      <c r="F139" s="6">
        <v>8250</v>
      </c>
      <c r="G139" s="6">
        <v>7748</v>
      </c>
      <c r="H139" s="7">
        <f>G139/F139*100</f>
        <v>93.915151515151521</v>
      </c>
      <c r="I139" s="8">
        <f>G139/(E139/100000)</f>
        <v>17095.073141671997</v>
      </c>
      <c r="J139" s="1">
        <v>3</v>
      </c>
      <c r="K139" s="9">
        <f>I139/100000</f>
        <v>0.17095073141671999</v>
      </c>
      <c r="L139" s="1">
        <v>0.55900000000000005</v>
      </c>
      <c r="M139" s="10">
        <v>0.34089999999999998</v>
      </c>
      <c r="N139" s="9">
        <f>0.3328+(0.3351*K139)-(0.3324*L139)+(0.333*M138)</f>
        <v>0.34656489009774288</v>
      </c>
    </row>
    <row r="140" spans="1:14" ht="16.5" thickBot="1" x14ac:dyDescent="0.3">
      <c r="A140">
        <v>138</v>
      </c>
      <c r="B140" s="1" t="s">
        <v>129</v>
      </c>
      <c r="C140" s="5" t="s">
        <v>155</v>
      </c>
      <c r="D140" s="12">
        <v>7405</v>
      </c>
      <c r="E140" s="6">
        <v>22310</v>
      </c>
      <c r="F140" s="6">
        <v>3894</v>
      </c>
      <c r="G140" s="6">
        <v>3821</v>
      </c>
      <c r="H140" s="7">
        <f>G140/F140*100</f>
        <v>98.125321006676941</v>
      </c>
      <c r="I140" s="8">
        <f>G140/(E140/100000)</f>
        <v>17126.848946660692</v>
      </c>
      <c r="J140" s="1">
        <v>5</v>
      </c>
      <c r="K140" s="9">
        <f>I140/100000</f>
        <v>0.17126848946660692</v>
      </c>
      <c r="L140" s="1">
        <v>0.47399999999999998</v>
      </c>
      <c r="M140" s="10">
        <v>0.66210000000000002</v>
      </c>
      <c r="N140" s="9">
        <f>0.3328+(0.3351*K140)-(0.3324*L140)+(0.333*M139)</f>
        <v>0.34615417082026001</v>
      </c>
    </row>
    <row r="141" spans="1:14" ht="16.5" thickTop="1" x14ac:dyDescent="0.25">
      <c r="A141">
        <v>139</v>
      </c>
      <c r="B141" s="1" t="s">
        <v>129</v>
      </c>
      <c r="C141" s="5" t="s">
        <v>156</v>
      </c>
      <c r="D141" s="1">
        <v>7406</v>
      </c>
      <c r="E141" s="6">
        <v>49559</v>
      </c>
      <c r="F141" s="6">
        <v>9469</v>
      </c>
      <c r="G141" s="6">
        <v>7597</v>
      </c>
      <c r="H141" s="7">
        <f>G141/F141*100</f>
        <v>80.230224944555914</v>
      </c>
      <c r="I141" s="8">
        <f>G141/(E141/100000)</f>
        <v>15329.20357553623</v>
      </c>
      <c r="J141" s="1">
        <v>3</v>
      </c>
      <c r="K141" s="9">
        <f>I141/100000</f>
        <v>0.15329203575536229</v>
      </c>
      <c r="L141" s="1">
        <v>0.55600000000000005</v>
      </c>
      <c r="M141" s="10">
        <v>0.25590000000000002</v>
      </c>
      <c r="N141" s="9">
        <f>0.3328+(0.3351*K141)-(0.3324*L141)+(0.333*M140)</f>
        <v>0.41983306118162189</v>
      </c>
    </row>
    <row r="142" spans="1:14" ht="15.75" x14ac:dyDescent="0.25">
      <c r="A142">
        <v>140</v>
      </c>
      <c r="B142" s="1" t="s">
        <v>129</v>
      </c>
      <c r="C142" s="5" t="s">
        <v>157</v>
      </c>
      <c r="D142" s="1">
        <v>7407</v>
      </c>
      <c r="E142" s="6">
        <v>17919</v>
      </c>
      <c r="F142" s="6">
        <v>3237</v>
      </c>
      <c r="G142" s="6">
        <v>3206</v>
      </c>
      <c r="H142" s="7">
        <f>G142/F142*100</f>
        <v>99.042323138708682</v>
      </c>
      <c r="I142" s="8">
        <f>G142/(E142/100000)</f>
        <v>17891.623416485298</v>
      </c>
      <c r="J142" s="1">
        <v>5</v>
      </c>
      <c r="K142" s="9">
        <f>I142/100000</f>
        <v>0.17891623416485297</v>
      </c>
      <c r="L142" s="1">
        <v>0.57399999999999995</v>
      </c>
      <c r="M142" s="10">
        <v>0.36820000000000003</v>
      </c>
      <c r="N142" s="9">
        <f>0.3328+(0.3351*K142)-(0.3324*L142)+(0.333*M141)</f>
        <v>0.28717193006864228</v>
      </c>
    </row>
    <row r="143" spans="1:14" ht="15.75" x14ac:dyDescent="0.25">
      <c r="A143">
        <v>141</v>
      </c>
      <c r="B143" s="1" t="s">
        <v>129</v>
      </c>
      <c r="C143" s="5" t="s">
        <v>158</v>
      </c>
      <c r="D143" s="1">
        <v>7408</v>
      </c>
      <c r="E143" s="6">
        <v>20035</v>
      </c>
      <c r="F143" s="6">
        <v>3654</v>
      </c>
      <c r="G143" s="6">
        <v>3132</v>
      </c>
      <c r="H143" s="7">
        <f>G143/F143*100</f>
        <v>85.714285714285708</v>
      </c>
      <c r="I143" s="8">
        <f>G143/(E143/100000)</f>
        <v>15632.642874968804</v>
      </c>
      <c r="J143" s="1">
        <v>5</v>
      </c>
      <c r="K143" s="9">
        <f>I143/100000</f>
        <v>0.15632642874968805</v>
      </c>
      <c r="L143" s="1">
        <v>0.52300000000000002</v>
      </c>
      <c r="M143" s="10">
        <v>0.36520000000000002</v>
      </c>
      <c r="N143" s="9">
        <f>0.3328+(0.3351*K143)-(0.3324*L143)+(0.333*M142)</f>
        <v>0.33395038627402041</v>
      </c>
    </row>
    <row r="144" spans="1:14" ht="15.75" x14ac:dyDescent="0.25">
      <c r="A144">
        <v>142</v>
      </c>
      <c r="B144" s="4" t="s">
        <v>159</v>
      </c>
      <c r="C144" s="5" t="s">
        <v>160</v>
      </c>
      <c r="D144" s="1">
        <v>8101</v>
      </c>
      <c r="E144" s="6">
        <v>230375</v>
      </c>
      <c r="F144" s="6">
        <v>31862</v>
      </c>
      <c r="G144" s="6">
        <v>34073</v>
      </c>
      <c r="H144" s="7">
        <f>G144/F144*100</f>
        <v>106.93930073441717</v>
      </c>
      <c r="I144" s="8">
        <f>G144/(E144/100000)</f>
        <v>14790.23331524688</v>
      </c>
      <c r="J144" s="1">
        <v>1</v>
      </c>
      <c r="K144" s="9">
        <f>I144/100000</f>
        <v>0.14790233315246881</v>
      </c>
      <c r="L144" s="1">
        <v>0.71899999999999997</v>
      </c>
      <c r="M144" s="10">
        <v>0.1565</v>
      </c>
      <c r="N144" s="9">
        <f>0.3328+(0.3351*K144)-(0.3324*L144)+(0.333*M143)</f>
        <v>0.26497807183939237</v>
      </c>
    </row>
    <row r="145" spans="1:14" ht="15.75" x14ac:dyDescent="0.25">
      <c r="A145">
        <v>143</v>
      </c>
      <c r="B145" s="4" t="s">
        <v>159</v>
      </c>
      <c r="C145" s="5" t="s">
        <v>161</v>
      </c>
      <c r="D145" s="1">
        <v>8102</v>
      </c>
      <c r="E145" s="6">
        <v>123648</v>
      </c>
      <c r="F145" s="6">
        <v>24741</v>
      </c>
      <c r="G145" s="6">
        <v>15688</v>
      </c>
      <c r="H145" s="7">
        <f>G145/F145*100</f>
        <v>63.408916373630817</v>
      </c>
      <c r="I145" s="8">
        <f>G145/(E145/100000)</f>
        <v>12687.629399585921</v>
      </c>
      <c r="J145" s="1">
        <v>2</v>
      </c>
      <c r="K145" s="9">
        <f>I145/100000</f>
        <v>0.1268762939958592</v>
      </c>
      <c r="L145" s="1">
        <v>0.60899999999999999</v>
      </c>
      <c r="M145" s="10">
        <v>0.34639999999999999</v>
      </c>
      <c r="N145" s="9">
        <f>0.3328+(0.3351*K145)-(0.3324*L145)+(0.333*M144)</f>
        <v>0.22499914611801242</v>
      </c>
    </row>
    <row r="146" spans="1:14" ht="15.75" x14ac:dyDescent="0.25">
      <c r="A146">
        <v>144</v>
      </c>
      <c r="B146" s="4" t="s">
        <v>159</v>
      </c>
      <c r="C146" s="5" t="s">
        <v>162</v>
      </c>
      <c r="D146" s="1">
        <v>8103</v>
      </c>
      <c r="E146" s="6">
        <v>85822</v>
      </c>
      <c r="F146" s="6">
        <v>14251</v>
      </c>
      <c r="G146" s="6">
        <v>13167</v>
      </c>
      <c r="H146" s="7">
        <f>G146/F146*100</f>
        <v>92.393516244474071</v>
      </c>
      <c r="I146" s="8">
        <f>G146/(E146/100000)</f>
        <v>15342.219943604205</v>
      </c>
      <c r="J146" s="1">
        <v>1</v>
      </c>
      <c r="K146" s="9">
        <f>I146/100000</f>
        <v>0.15342219943604204</v>
      </c>
      <c r="L146" s="1">
        <v>0.71099999999999997</v>
      </c>
      <c r="M146" s="10">
        <v>0.20100000000000001</v>
      </c>
      <c r="N146" s="9">
        <f>0.3328+(0.3351*K146)-(0.3324*L146)+(0.333*M145)</f>
        <v>0.2632265790310177</v>
      </c>
    </row>
    <row r="147" spans="1:14" ht="15.75" x14ac:dyDescent="0.25">
      <c r="A147">
        <v>145</v>
      </c>
      <c r="B147" s="4" t="s">
        <v>159</v>
      </c>
      <c r="C147" s="5" t="s">
        <v>163</v>
      </c>
      <c r="D147" s="1">
        <v>8104</v>
      </c>
      <c r="E147" s="6">
        <v>12958</v>
      </c>
      <c r="F147" s="6">
        <v>2052</v>
      </c>
      <c r="G147" s="6">
        <v>2493</v>
      </c>
      <c r="H147" s="7">
        <f>G147/F147*100</f>
        <v>121.49122807017542</v>
      </c>
      <c r="I147" s="8">
        <f>G147/(E147/100000)</f>
        <v>19239.080104954468</v>
      </c>
      <c r="J147" s="1">
        <v>5</v>
      </c>
      <c r="K147" s="9">
        <f>I147/100000</f>
        <v>0.19239080104954467</v>
      </c>
      <c r="L147" s="1">
        <v>0.56100000000000005</v>
      </c>
      <c r="M147" s="10">
        <v>0.40949999999999998</v>
      </c>
      <c r="N147" s="9">
        <f>0.3328+(0.3351*K147)-(0.3324*L147)+(0.333*M146)</f>
        <v>0.27772675743170239</v>
      </c>
    </row>
    <row r="148" spans="1:14" ht="15.75" x14ac:dyDescent="0.25">
      <c r="A148">
        <v>146</v>
      </c>
      <c r="B148" s="4" t="s">
        <v>159</v>
      </c>
      <c r="C148" s="5" t="s">
        <v>164</v>
      </c>
      <c r="D148" s="1">
        <v>8105</v>
      </c>
      <c r="E148" s="6">
        <v>25795</v>
      </c>
      <c r="F148" s="6">
        <v>4889</v>
      </c>
      <c r="G148" s="6">
        <v>3630</v>
      </c>
      <c r="H148" s="7">
        <f>G148/F148*100</f>
        <v>74.248312538351399</v>
      </c>
      <c r="I148" s="8">
        <f>G148/(E148/100000)</f>
        <v>14072.494669509595</v>
      </c>
      <c r="J148" s="1">
        <v>5</v>
      </c>
      <c r="K148" s="9">
        <f>I148/100000</f>
        <v>0.14072494669509594</v>
      </c>
      <c r="L148" s="1">
        <v>0.56000000000000005</v>
      </c>
      <c r="M148" s="10">
        <v>0.35589999999999999</v>
      </c>
      <c r="N148" s="9">
        <f>0.3328+(0.3351*K148)-(0.3324*L148)+(0.333*M147)</f>
        <v>0.33017642963752664</v>
      </c>
    </row>
    <row r="149" spans="1:14" ht="15.75" x14ac:dyDescent="0.25">
      <c r="A149">
        <v>147</v>
      </c>
      <c r="B149" s="4" t="s">
        <v>159</v>
      </c>
      <c r="C149" s="5" t="s">
        <v>165</v>
      </c>
      <c r="D149" s="1">
        <v>8106</v>
      </c>
      <c r="E149" s="6">
        <v>39980</v>
      </c>
      <c r="F149" s="6">
        <v>6612</v>
      </c>
      <c r="G149" s="6">
        <v>6893</v>
      </c>
      <c r="H149" s="7">
        <f>G149/F149*100</f>
        <v>104.24984875983061</v>
      </c>
      <c r="I149" s="8">
        <f>G149/(E149/100000)</f>
        <v>17241.120560280142</v>
      </c>
      <c r="J149" s="1">
        <v>2</v>
      </c>
      <c r="K149" s="9">
        <f>I149/100000</f>
        <v>0.17241120560280143</v>
      </c>
      <c r="L149" s="1">
        <v>0.56899999999999995</v>
      </c>
      <c r="M149" s="10">
        <v>0.81630000000000003</v>
      </c>
      <c r="N149" s="9">
        <f>0.3328+(0.3351*K149)-(0.3324*L149)+(0.333*M148)</f>
        <v>0.31995409499749883</v>
      </c>
    </row>
    <row r="150" spans="1:14" ht="15.75" x14ac:dyDescent="0.25">
      <c r="A150">
        <v>148</v>
      </c>
      <c r="B150" s="4" t="s">
        <v>159</v>
      </c>
      <c r="C150" s="5" t="s">
        <v>166</v>
      </c>
      <c r="D150" s="1">
        <v>8107</v>
      </c>
      <c r="E150" s="6">
        <v>48971</v>
      </c>
      <c r="F150" s="6">
        <v>8525</v>
      </c>
      <c r="G150" s="6">
        <v>7556</v>
      </c>
      <c r="H150" s="7">
        <f>G150/F150*100</f>
        <v>88.633431085043995</v>
      </c>
      <c r="I150" s="8">
        <f>G150/(E150/100000)</f>
        <v>15429.539931796369</v>
      </c>
      <c r="J150" s="1">
        <v>2</v>
      </c>
      <c r="K150" s="9">
        <f>I150/100000</f>
        <v>0.15429539931796368</v>
      </c>
      <c r="L150" s="1">
        <v>0.63300000000000001</v>
      </c>
      <c r="M150" s="10">
        <v>0.2127</v>
      </c>
      <c r="N150" s="9">
        <f>0.3328+(0.3351*K150)-(0.3324*L150)+(0.333*M149)</f>
        <v>0.44592308831144967</v>
      </c>
    </row>
    <row r="151" spans="1:14" ht="15.75" x14ac:dyDescent="0.25">
      <c r="A151">
        <v>149</v>
      </c>
      <c r="B151" s="4" t="s">
        <v>159</v>
      </c>
      <c r="C151" s="5" t="s">
        <v>167</v>
      </c>
      <c r="D151" s="1">
        <v>8108</v>
      </c>
      <c r="E151" s="6">
        <v>150992</v>
      </c>
      <c r="F151" s="6">
        <v>30344</v>
      </c>
      <c r="G151" s="6">
        <v>16394</v>
      </c>
      <c r="H151" s="7">
        <f>G151/F151*100</f>
        <v>54.027155286053251</v>
      </c>
      <c r="I151" s="8">
        <f>G151/(E151/100000)</f>
        <v>10857.528875702024</v>
      </c>
      <c r="J151" s="1">
        <v>1</v>
      </c>
      <c r="K151" s="9">
        <f>I151/100000</f>
        <v>0.10857528875702024</v>
      </c>
      <c r="L151" s="1">
        <v>0.72299999999999998</v>
      </c>
      <c r="M151" s="10">
        <v>0.17780000000000001</v>
      </c>
      <c r="N151" s="9">
        <f>0.3328+(0.3351*K151)-(0.3324*L151)+(0.333*M150)</f>
        <v>0.19968747926247751</v>
      </c>
    </row>
    <row r="152" spans="1:14" ht="15.75" x14ac:dyDescent="0.25">
      <c r="A152">
        <v>150</v>
      </c>
      <c r="B152" s="4" t="s">
        <v>159</v>
      </c>
      <c r="C152" s="5" t="s">
        <v>168</v>
      </c>
      <c r="D152" s="1">
        <v>8109</v>
      </c>
      <c r="E152" s="6">
        <v>14947</v>
      </c>
      <c r="F152" s="6">
        <v>2703</v>
      </c>
      <c r="G152" s="6">
        <v>2494</v>
      </c>
      <c r="H152" s="7">
        <f>G152/F152*100</f>
        <v>92.267850536440989</v>
      </c>
      <c r="I152" s="8">
        <f>G152/(E152/100000)</f>
        <v>16685.622532949757</v>
      </c>
      <c r="J152" s="1">
        <v>5</v>
      </c>
      <c r="K152" s="9">
        <f>I152/100000</f>
        <v>0.16685622532949757</v>
      </c>
      <c r="L152" s="1">
        <v>0.55800000000000005</v>
      </c>
      <c r="M152" s="10">
        <v>0.51090000000000002</v>
      </c>
      <c r="N152" s="9">
        <f>0.3328+(0.3351*K152)-(0.3324*L152)+(0.333*M151)</f>
        <v>0.26244172110791464</v>
      </c>
    </row>
    <row r="153" spans="1:14" ht="16.5" thickBot="1" x14ac:dyDescent="0.3">
      <c r="A153">
        <v>151</v>
      </c>
      <c r="B153" s="4" t="s">
        <v>159</v>
      </c>
      <c r="C153" s="5" t="s">
        <v>169</v>
      </c>
      <c r="D153" s="12">
        <v>8110</v>
      </c>
      <c r="E153" s="6">
        <v>147322</v>
      </c>
      <c r="F153" s="6">
        <v>24209</v>
      </c>
      <c r="G153" s="6">
        <v>23905</v>
      </c>
      <c r="H153" s="7">
        <f>G153/F153*100</f>
        <v>98.744268660415543</v>
      </c>
      <c r="I153" s="8">
        <f>G153/(E153/100000)</f>
        <v>16226.361303810701</v>
      </c>
      <c r="J153" s="1">
        <v>1</v>
      </c>
      <c r="K153" s="9">
        <f>I153/100000</f>
        <v>0.16226361303810702</v>
      </c>
      <c r="L153" s="1">
        <v>0.67400000000000004</v>
      </c>
      <c r="M153" s="10">
        <v>0.12740000000000001</v>
      </c>
      <c r="N153" s="9">
        <f>0.3328+(0.3351*K153)-(0.3324*L153)+(0.333*M152)</f>
        <v>0.33326663672906964</v>
      </c>
    </row>
    <row r="154" spans="1:14" ht="16.5" thickTop="1" x14ac:dyDescent="0.25">
      <c r="A154">
        <v>152</v>
      </c>
      <c r="B154" s="4" t="s">
        <v>159</v>
      </c>
      <c r="C154" s="5" t="s">
        <v>170</v>
      </c>
      <c r="D154" s="1">
        <v>8111</v>
      </c>
      <c r="E154" s="6">
        <v>56907</v>
      </c>
      <c r="F154" s="6">
        <v>9257</v>
      </c>
      <c r="G154" s="6">
        <v>10074</v>
      </c>
      <c r="H154" s="7">
        <f>G154/F154*100</f>
        <v>108.82575348385006</v>
      </c>
      <c r="I154" s="8">
        <f>G154/(E154/100000)</f>
        <v>17702.567346723601</v>
      </c>
      <c r="J154" s="1">
        <v>2</v>
      </c>
      <c r="K154" s="9">
        <f>I154/100000</f>
        <v>0.17702567346723602</v>
      </c>
      <c r="L154" s="1">
        <v>0.60799999999999998</v>
      </c>
      <c r="M154" s="10">
        <v>0.26650000000000001</v>
      </c>
      <c r="N154" s="9">
        <f>0.3328+(0.3351*K154)-(0.3324*L154)+(0.333*M153)</f>
        <v>0.23244630317887083</v>
      </c>
    </row>
    <row r="155" spans="1:14" ht="15.75" x14ac:dyDescent="0.25">
      <c r="A155">
        <v>153</v>
      </c>
      <c r="B155" s="4" t="s">
        <v>159</v>
      </c>
      <c r="C155" s="5" t="s">
        <v>171</v>
      </c>
      <c r="D155" s="1">
        <v>8112</v>
      </c>
      <c r="E155" s="6">
        <v>87731</v>
      </c>
      <c r="F155" s="6">
        <v>13910</v>
      </c>
      <c r="G155" s="6">
        <v>13983</v>
      </c>
      <c r="H155" s="7">
        <f>G155/F155*100</f>
        <v>100.52480230050323</v>
      </c>
      <c r="I155" s="8">
        <f>G155/(E155/100000)</f>
        <v>15938.493804926422</v>
      </c>
      <c r="J155" s="1">
        <v>1</v>
      </c>
      <c r="K155" s="9">
        <f>I155/100000</f>
        <v>0.15938493804926421</v>
      </c>
      <c r="L155" s="1">
        <v>0.66800000000000004</v>
      </c>
      <c r="M155" s="10">
        <v>0.17749999999999999</v>
      </c>
      <c r="N155" s="9">
        <f>0.3328+(0.3351*K155)-(0.3324*L155)+(0.333*M154)</f>
        <v>0.25291119274030843</v>
      </c>
    </row>
    <row r="156" spans="1:14" ht="15.75" x14ac:dyDescent="0.25">
      <c r="A156">
        <v>154</v>
      </c>
      <c r="B156" s="4" t="s">
        <v>159</v>
      </c>
      <c r="C156" s="5" t="s">
        <v>172</v>
      </c>
      <c r="D156" s="1">
        <v>8201</v>
      </c>
      <c r="E156" s="6">
        <v>25246</v>
      </c>
      <c r="F156" s="6">
        <v>4739</v>
      </c>
      <c r="G156" s="6">
        <v>3615</v>
      </c>
      <c r="H156" s="7">
        <f>G156/F156*100</f>
        <v>76.281916016037144</v>
      </c>
      <c r="I156" s="8">
        <f>G156/(E156/100000)</f>
        <v>14319.100055454328</v>
      </c>
      <c r="J156" s="1">
        <v>3</v>
      </c>
      <c r="K156" s="9">
        <f>I156/100000</f>
        <v>0.14319100055454329</v>
      </c>
      <c r="L156" s="1">
        <v>0.54</v>
      </c>
      <c r="M156" s="10">
        <v>0.6895</v>
      </c>
      <c r="N156" s="9">
        <f>0.3328+(0.3351*K156)-(0.3324*L156)+(0.333*M155)</f>
        <v>0.26039480428582745</v>
      </c>
    </row>
    <row r="157" spans="1:14" ht="15.75" x14ac:dyDescent="0.25">
      <c r="A157">
        <v>155</v>
      </c>
      <c r="B157" s="4" t="s">
        <v>159</v>
      </c>
      <c r="C157" s="5" t="s">
        <v>173</v>
      </c>
      <c r="D157" s="1">
        <v>8202</v>
      </c>
      <c r="E157" s="6">
        <v>37163</v>
      </c>
      <c r="F157" s="6">
        <v>6837</v>
      </c>
      <c r="G157" s="6">
        <v>5341</v>
      </c>
      <c r="H157" s="7">
        <f>G157/F157*100</f>
        <v>78.119058066403397</v>
      </c>
      <c r="I157" s="8">
        <f>G157/(E157/100000)</f>
        <v>14371.821435298549</v>
      </c>
      <c r="J157" s="1">
        <v>4</v>
      </c>
      <c r="K157" s="9">
        <f>I157/100000</f>
        <v>0.14371821435298548</v>
      </c>
      <c r="L157" s="1">
        <v>0.61</v>
      </c>
      <c r="M157" s="10">
        <v>0.30230000000000001</v>
      </c>
      <c r="N157" s="9">
        <f>0.3328+(0.3351*K157)-(0.3324*L157)+(0.333*M156)</f>
        <v>0.40779947362968549</v>
      </c>
    </row>
    <row r="158" spans="1:14" ht="15.75" x14ac:dyDescent="0.25">
      <c r="A158">
        <v>156</v>
      </c>
      <c r="B158" s="4" t="s">
        <v>159</v>
      </c>
      <c r="C158" s="5" t="s">
        <v>174</v>
      </c>
      <c r="D158" s="1">
        <v>8203</v>
      </c>
      <c r="E158" s="6">
        <v>34640</v>
      </c>
      <c r="F158" s="6">
        <v>6801</v>
      </c>
      <c r="G158" s="6">
        <v>5174</v>
      </c>
      <c r="H158" s="7">
        <f>G158/F158*100</f>
        <v>76.077047493015741</v>
      </c>
      <c r="I158" s="8">
        <f>G158/(E158/100000)</f>
        <v>14936.4896073903</v>
      </c>
      <c r="J158" s="1">
        <v>3</v>
      </c>
      <c r="K158" s="9">
        <f>I158/100000</f>
        <v>0.14936489607390299</v>
      </c>
      <c r="L158" s="1">
        <v>0.503</v>
      </c>
      <c r="M158" s="10">
        <v>0.21479999999999999</v>
      </c>
      <c r="N158" s="9">
        <f>0.3328+(0.3351*K158)-(0.3324*L158)+(0.333*M157)</f>
        <v>0.31632087667436493</v>
      </c>
    </row>
    <row r="159" spans="1:14" ht="15.75" x14ac:dyDescent="0.25">
      <c r="A159">
        <v>157</v>
      </c>
      <c r="B159" s="4" t="s">
        <v>159</v>
      </c>
      <c r="C159" s="5" t="s">
        <v>175</v>
      </c>
      <c r="D159" s="1">
        <v>8204</v>
      </c>
      <c r="E159" s="6">
        <v>5905</v>
      </c>
      <c r="F159" s="6">
        <v>984</v>
      </c>
      <c r="G159" s="6">
        <v>1053</v>
      </c>
      <c r="H159" s="7">
        <f>G159/F159*100</f>
        <v>107.01219512195121</v>
      </c>
      <c r="I159" s="8">
        <f>G159/(E159/100000)</f>
        <v>17832.34546994073</v>
      </c>
      <c r="J159" s="1">
        <v>5</v>
      </c>
      <c r="K159" s="9">
        <f>I159/100000</f>
        <v>0.1783234546994073</v>
      </c>
      <c r="L159" s="1">
        <v>0.504</v>
      </c>
      <c r="M159" s="10">
        <v>0.39040000000000002</v>
      </c>
      <c r="N159" s="9">
        <f>0.3328+(0.3351*K159)-(0.3324*L159)+(0.333*M158)</f>
        <v>0.29655498966977134</v>
      </c>
    </row>
    <row r="160" spans="1:14" ht="15.75" x14ac:dyDescent="0.25">
      <c r="A160">
        <v>158</v>
      </c>
      <c r="B160" s="4" t="s">
        <v>159</v>
      </c>
      <c r="C160" s="5" t="s">
        <v>176</v>
      </c>
      <c r="D160" s="1">
        <v>8205</v>
      </c>
      <c r="E160" s="6">
        <v>31119</v>
      </c>
      <c r="F160" s="6">
        <v>5865</v>
      </c>
      <c r="G160" s="6">
        <v>4688</v>
      </c>
      <c r="H160" s="7">
        <f>G160/F160*100</f>
        <v>79.931798806479122</v>
      </c>
      <c r="I160" s="8">
        <f>G160/(E160/100000)</f>
        <v>15064.751438028214</v>
      </c>
      <c r="J160" s="1">
        <v>3</v>
      </c>
      <c r="K160" s="9">
        <f>I160/100000</f>
        <v>0.15064751438028215</v>
      </c>
      <c r="L160" s="1">
        <v>0.57699999999999996</v>
      </c>
      <c r="M160" s="10">
        <v>0.46839999999999998</v>
      </c>
      <c r="N160" s="9">
        <f>0.3328+(0.3351*K160)-(0.3324*L160)+(0.333*M159)</f>
        <v>0.32149038206883257</v>
      </c>
    </row>
    <row r="161" spans="1:14" ht="15.75" x14ac:dyDescent="0.25">
      <c r="A161">
        <v>159</v>
      </c>
      <c r="B161" s="4" t="s">
        <v>159</v>
      </c>
      <c r="C161" s="5" t="s">
        <v>177</v>
      </c>
      <c r="D161" s="1">
        <v>8206</v>
      </c>
      <c r="E161" s="6">
        <v>21950</v>
      </c>
      <c r="F161" s="6">
        <v>4422</v>
      </c>
      <c r="G161" s="6">
        <v>2941</v>
      </c>
      <c r="H161" s="7">
        <f>G161/F161*100</f>
        <v>66.508367254635914</v>
      </c>
      <c r="I161" s="8">
        <f>G161/(E161/100000)</f>
        <v>13398.633257403189</v>
      </c>
      <c r="J161" s="1">
        <v>3</v>
      </c>
      <c r="K161" s="9">
        <f>I161/100000</f>
        <v>0.13398633257403189</v>
      </c>
      <c r="L161" s="1">
        <v>0.51900000000000002</v>
      </c>
      <c r="M161" s="10">
        <v>0.218</v>
      </c>
      <c r="N161" s="9">
        <f>0.3328+(0.3351*K161)-(0.3324*L161)+(0.333*M160)</f>
        <v>0.36116042004555815</v>
      </c>
    </row>
    <row r="162" spans="1:14" ht="15.75" x14ac:dyDescent="0.25">
      <c r="A162">
        <v>160</v>
      </c>
      <c r="B162" s="4" t="s">
        <v>159</v>
      </c>
      <c r="C162" s="5" t="s">
        <v>178</v>
      </c>
      <c r="D162" s="1">
        <v>8207</v>
      </c>
      <c r="E162" s="6">
        <v>10208</v>
      </c>
      <c r="F162" s="6">
        <v>2133</v>
      </c>
      <c r="G162" s="6">
        <v>1243</v>
      </c>
      <c r="H162" s="7">
        <f>G162/F162*100</f>
        <v>58.274730426629162</v>
      </c>
      <c r="I162" s="8">
        <f>G162/(E162/100000)</f>
        <v>12176.724137931034</v>
      </c>
      <c r="J162" s="1">
        <v>5</v>
      </c>
      <c r="K162" s="9">
        <f>I162/100000</f>
        <v>0.12176724137931035</v>
      </c>
      <c r="L162" s="1">
        <v>0.35599999999999998</v>
      </c>
      <c r="M162" s="10">
        <v>0.45129999999999998</v>
      </c>
      <c r="N162" s="9">
        <f>0.3328+(0.3351*K162)-(0.3324*L162)+(0.333*M161)</f>
        <v>0.3278638025862069</v>
      </c>
    </row>
    <row r="163" spans="1:14" ht="15.75" x14ac:dyDescent="0.25">
      <c r="A163">
        <v>161</v>
      </c>
      <c r="B163" s="4" t="s">
        <v>159</v>
      </c>
      <c r="C163" s="5" t="s">
        <v>179</v>
      </c>
      <c r="D163" s="1">
        <v>8301</v>
      </c>
      <c r="E163" s="6">
        <v>219441</v>
      </c>
      <c r="F163" s="6">
        <v>41913</v>
      </c>
      <c r="G163" s="6">
        <v>29466</v>
      </c>
      <c r="H163" s="7">
        <f>G163/F163*100</f>
        <v>70.302770023620354</v>
      </c>
      <c r="I163" s="8">
        <f>G163/(E163/100000)</f>
        <v>13427.755068560569</v>
      </c>
      <c r="J163" s="1">
        <v>2</v>
      </c>
      <c r="K163" s="9">
        <f>I163/100000</f>
        <v>0.13427755068560568</v>
      </c>
      <c r="L163" s="1">
        <v>0.64</v>
      </c>
      <c r="M163" s="10">
        <v>0.2155</v>
      </c>
      <c r="N163" s="9">
        <f>0.3328+(0.3351*K163)-(0.3324*L163)+(0.333*M162)</f>
        <v>0.31534330723474646</v>
      </c>
    </row>
    <row r="164" spans="1:14" ht="15.75" x14ac:dyDescent="0.25">
      <c r="A164">
        <v>162</v>
      </c>
      <c r="B164" s="4" t="s">
        <v>159</v>
      </c>
      <c r="C164" s="5" t="s">
        <v>180</v>
      </c>
      <c r="D164" s="1">
        <v>8302</v>
      </c>
      <c r="E164" s="6">
        <v>4373</v>
      </c>
      <c r="F164" s="6">
        <v>661</v>
      </c>
      <c r="G164" s="6">
        <v>868</v>
      </c>
      <c r="H164" s="7">
        <f>G164/F164*100</f>
        <v>131.3161875945537</v>
      </c>
      <c r="I164" s="8">
        <f>G164/(E164/100000)</f>
        <v>19849.073862337071</v>
      </c>
      <c r="J164" s="1">
        <v>5</v>
      </c>
      <c r="K164" s="9">
        <f>I164/100000</f>
        <v>0.19849073862337072</v>
      </c>
      <c r="L164" s="1">
        <v>0.56100000000000005</v>
      </c>
      <c r="M164" s="10">
        <v>0.29420000000000002</v>
      </c>
      <c r="N164" s="9">
        <f>0.3328+(0.3351*K164)-(0.3324*L164)+(0.333*M163)</f>
        <v>0.28459934651269153</v>
      </c>
    </row>
    <row r="165" spans="1:14" ht="15.75" x14ac:dyDescent="0.25">
      <c r="A165">
        <v>163</v>
      </c>
      <c r="B165" s="4" t="s">
        <v>159</v>
      </c>
      <c r="C165" s="5" t="s">
        <v>181</v>
      </c>
      <c r="D165" s="1">
        <v>8303</v>
      </c>
      <c r="E165" s="6">
        <v>31256</v>
      </c>
      <c r="F165" s="6">
        <v>5527</v>
      </c>
      <c r="G165" s="6">
        <v>4626</v>
      </c>
      <c r="H165" s="7">
        <f>G165/F165*100</f>
        <v>83.69820879319704</v>
      </c>
      <c r="I165" s="8">
        <f>G165/(E165/100000)</f>
        <v>14800.358331200408</v>
      </c>
      <c r="J165" s="1">
        <v>3</v>
      </c>
      <c r="K165" s="9">
        <f>I165/100000</f>
        <v>0.14800358331200408</v>
      </c>
      <c r="L165" s="1">
        <v>0.56899999999999995</v>
      </c>
      <c r="M165" s="10">
        <v>0.25140000000000001</v>
      </c>
      <c r="N165" s="9">
        <f>0.3328+(0.3351*K165)-(0.3324*L165)+(0.333*M164)</f>
        <v>0.29122900076785263</v>
      </c>
    </row>
    <row r="166" spans="1:14" ht="15.75" x14ac:dyDescent="0.25">
      <c r="A166">
        <v>164</v>
      </c>
      <c r="B166" s="4" t="s">
        <v>159</v>
      </c>
      <c r="C166" s="5" t="s">
        <v>182</v>
      </c>
      <c r="D166" s="1">
        <v>8304</v>
      </c>
      <c r="E166" s="6">
        <v>23706</v>
      </c>
      <c r="F166" s="6">
        <v>4240</v>
      </c>
      <c r="G166" s="6">
        <v>3946</v>
      </c>
      <c r="H166" s="7">
        <f>G166/F166*100</f>
        <v>93.066037735849065</v>
      </c>
      <c r="I166" s="8">
        <f>G166/(E166/100000)</f>
        <v>16645.574959925758</v>
      </c>
      <c r="J166" s="1">
        <v>4</v>
      </c>
      <c r="K166" s="9">
        <f>I166/100000</f>
        <v>0.16645574959925757</v>
      </c>
      <c r="L166" s="1">
        <v>0.61599999999999999</v>
      </c>
      <c r="M166" s="10">
        <v>0.35510000000000003</v>
      </c>
      <c r="N166" s="9">
        <f>0.3328+(0.3351*K166)-(0.3324*L166)+(0.333*M165)</f>
        <v>0.2675371216907112</v>
      </c>
    </row>
    <row r="167" spans="1:14" ht="15.75" x14ac:dyDescent="0.25">
      <c r="A167">
        <v>165</v>
      </c>
      <c r="B167" s="4" t="s">
        <v>159</v>
      </c>
      <c r="C167" s="5" t="s">
        <v>183</v>
      </c>
      <c r="D167" s="1">
        <v>8305</v>
      </c>
      <c r="E167" s="6">
        <v>29036</v>
      </c>
      <c r="F167" s="6">
        <v>5251</v>
      </c>
      <c r="G167" s="6">
        <v>4727</v>
      </c>
      <c r="H167" s="7">
        <f>G167/F167*100</f>
        <v>90.020948390782706</v>
      </c>
      <c r="I167" s="8">
        <f>G167/(E167/100000)</f>
        <v>16279.790604766496</v>
      </c>
      <c r="J167" s="1">
        <v>3</v>
      </c>
      <c r="K167" s="9">
        <f>I167/100000</f>
        <v>0.16279790604766498</v>
      </c>
      <c r="L167" s="1">
        <v>0.55300000000000005</v>
      </c>
      <c r="M167" s="10">
        <v>0.3407</v>
      </c>
      <c r="N167" s="9">
        <f>0.3328+(0.3351*K167)-(0.3324*L167)+(0.333*M166)</f>
        <v>0.32178467831657254</v>
      </c>
    </row>
    <row r="168" spans="1:14" ht="15.75" x14ac:dyDescent="0.25">
      <c r="A168">
        <v>166</v>
      </c>
      <c r="B168" s="4" t="s">
        <v>159</v>
      </c>
      <c r="C168" s="5" t="s">
        <v>184</v>
      </c>
      <c r="D168" s="1">
        <v>8306</v>
      </c>
      <c r="E168" s="6">
        <v>26140</v>
      </c>
      <c r="F168" s="6">
        <v>4867</v>
      </c>
      <c r="G168" s="6">
        <v>4009</v>
      </c>
      <c r="H168" s="7">
        <f>G168/F168*100</f>
        <v>82.371070474625029</v>
      </c>
      <c r="I168" s="8">
        <f>G168/(E168/100000)</f>
        <v>15336.64881407804</v>
      </c>
      <c r="J168" s="1">
        <v>3</v>
      </c>
      <c r="K168" s="9">
        <f>I168/100000</f>
        <v>0.15336648814078041</v>
      </c>
      <c r="L168" s="1">
        <v>0.61599999999999999</v>
      </c>
      <c r="M168" s="10">
        <v>0.17180000000000001</v>
      </c>
      <c r="N168" s="9">
        <f>0.3328+(0.3351*K168)-(0.3324*L168)+(0.333*M167)</f>
        <v>0.29288781017597554</v>
      </c>
    </row>
    <row r="169" spans="1:14" ht="15.75" x14ac:dyDescent="0.25">
      <c r="A169">
        <v>167</v>
      </c>
      <c r="B169" s="4" t="s">
        <v>159</v>
      </c>
      <c r="C169" s="5" t="s">
        <v>185</v>
      </c>
      <c r="D169" s="1">
        <v>8307</v>
      </c>
      <c r="E169" s="6">
        <v>10723</v>
      </c>
      <c r="F169" s="6">
        <v>1969</v>
      </c>
      <c r="G169" s="6">
        <v>1648</v>
      </c>
      <c r="H169" s="7">
        <f>G169/F169*100</f>
        <v>83.697308278313869</v>
      </c>
      <c r="I169" s="8">
        <f>G169/(E169/100000)</f>
        <v>15368.833348876247</v>
      </c>
      <c r="J169" s="1">
        <v>5</v>
      </c>
      <c r="K169" s="9">
        <f>I169/100000</f>
        <v>0.15368833348876249</v>
      </c>
      <c r="L169" s="1">
        <v>0.57199999999999995</v>
      </c>
      <c r="M169" s="10">
        <v>0.41889999999999999</v>
      </c>
      <c r="N169" s="9">
        <f>0.3328+(0.3351*K169)-(0.3324*L169)+(0.333*M168)</f>
        <v>0.25137756055208432</v>
      </c>
    </row>
    <row r="170" spans="1:14" ht="15.75" x14ac:dyDescent="0.25">
      <c r="A170">
        <v>168</v>
      </c>
      <c r="B170" s="4" t="s">
        <v>159</v>
      </c>
      <c r="C170" s="5" t="s">
        <v>186</v>
      </c>
      <c r="D170" s="1">
        <v>8308</v>
      </c>
      <c r="E170" s="6">
        <v>4440</v>
      </c>
      <c r="F170" s="6">
        <v>739</v>
      </c>
      <c r="G170" s="6">
        <v>971</v>
      </c>
      <c r="H170" s="7">
        <f>G170/F170*100</f>
        <v>131.39377537212448</v>
      </c>
      <c r="I170" s="8">
        <f>G170/(E170/100000)</f>
        <v>21869.369369369368</v>
      </c>
      <c r="J170" s="1">
        <v>5</v>
      </c>
      <c r="K170" s="9">
        <f>I170/100000</f>
        <v>0.21869369369369368</v>
      </c>
      <c r="L170" s="1">
        <v>0.54900000000000004</v>
      </c>
      <c r="M170" s="10">
        <v>0.50590000000000002</v>
      </c>
      <c r="N170" s="9">
        <f>0.3328+(0.3351*K170)-(0.3324*L170)+(0.333*M169)</f>
        <v>0.36309035675675672</v>
      </c>
    </row>
    <row r="171" spans="1:14" ht="15.75" x14ac:dyDescent="0.25">
      <c r="A171">
        <v>169</v>
      </c>
      <c r="B171" s="4" t="s">
        <v>159</v>
      </c>
      <c r="C171" s="5" t="s">
        <v>187</v>
      </c>
      <c r="D171" s="1">
        <v>8309</v>
      </c>
      <c r="E171" s="6">
        <v>9700</v>
      </c>
      <c r="F171" s="6">
        <v>1573</v>
      </c>
      <c r="G171" s="6">
        <v>1983</v>
      </c>
      <c r="H171" s="7">
        <f>G171/F171*100</f>
        <v>126.06484424666242</v>
      </c>
      <c r="I171" s="8">
        <f>G171/(E171/100000)</f>
        <v>20443.298969072166</v>
      </c>
      <c r="J171" s="1">
        <v>5</v>
      </c>
      <c r="K171" s="9">
        <f>I171/100000</f>
        <v>0.20443298969072166</v>
      </c>
      <c r="L171" s="1">
        <v>0.53500000000000003</v>
      </c>
      <c r="M171" s="10">
        <v>0.37409999999999999</v>
      </c>
      <c r="N171" s="9">
        <f>0.3328+(0.3351*K171)-(0.3324*L171)+(0.333*M170)</f>
        <v>0.39193619484536085</v>
      </c>
    </row>
    <row r="172" spans="1:14" ht="15.75" x14ac:dyDescent="0.25">
      <c r="A172">
        <v>170</v>
      </c>
      <c r="B172" s="4" t="s">
        <v>159</v>
      </c>
      <c r="C172" s="5" t="s">
        <v>188</v>
      </c>
      <c r="D172" s="1">
        <v>8310</v>
      </c>
      <c r="E172" s="6">
        <v>3575</v>
      </c>
      <c r="F172" s="6">
        <v>547</v>
      </c>
      <c r="G172" s="6">
        <v>692</v>
      </c>
      <c r="H172" s="7">
        <f>G172/F172*100</f>
        <v>126.50822669104204</v>
      </c>
      <c r="I172" s="8">
        <f>G172/(E172/100000)</f>
        <v>19356.643356643359</v>
      </c>
      <c r="J172" s="1">
        <v>3</v>
      </c>
      <c r="K172" s="9">
        <f>I172/100000</f>
        <v>0.19356643356643358</v>
      </c>
      <c r="L172" s="1">
        <v>0.61599999999999999</v>
      </c>
      <c r="M172" s="10">
        <v>0.46039999999999998</v>
      </c>
      <c r="N172" s="9">
        <f>0.3328+(0.3351*K172)-(0.3324*L172)+(0.333*M171)</f>
        <v>0.31748101188811195</v>
      </c>
    </row>
    <row r="173" spans="1:14" ht="15.75" x14ac:dyDescent="0.25">
      <c r="A173">
        <v>171</v>
      </c>
      <c r="B173" s="4" t="s">
        <v>159</v>
      </c>
      <c r="C173" s="5" t="s">
        <v>189</v>
      </c>
      <c r="D173" s="1">
        <v>8311</v>
      </c>
      <c r="E173" s="6">
        <v>14075</v>
      </c>
      <c r="F173" s="6">
        <v>2474</v>
      </c>
      <c r="G173" s="6">
        <v>2399</v>
      </c>
      <c r="H173" s="7">
        <f>G173/F173*100</f>
        <v>96.96847210994342</v>
      </c>
      <c r="I173" s="8">
        <f>G173/(E173/100000)</f>
        <v>17044.404973357017</v>
      </c>
      <c r="J173" s="1">
        <v>3</v>
      </c>
      <c r="K173" s="9">
        <f>I173/100000</f>
        <v>0.17044404973357016</v>
      </c>
      <c r="L173" s="1">
        <v>0.54700000000000004</v>
      </c>
      <c r="M173" s="10">
        <v>0.25059999999999999</v>
      </c>
      <c r="N173" s="9">
        <f>0.3328+(0.3351*K173)-(0.3324*L173)+(0.333*M172)</f>
        <v>0.3614062010657193</v>
      </c>
    </row>
    <row r="174" spans="1:14" ht="15.75" x14ac:dyDescent="0.25">
      <c r="A174">
        <v>172</v>
      </c>
      <c r="B174" s="4" t="s">
        <v>159</v>
      </c>
      <c r="C174" s="5" t="s">
        <v>190</v>
      </c>
      <c r="D174" s="1">
        <v>8312</v>
      </c>
      <c r="E174" s="6">
        <v>15729</v>
      </c>
      <c r="F174" s="6">
        <v>2664</v>
      </c>
      <c r="G174" s="6">
        <v>2941</v>
      </c>
      <c r="H174" s="7">
        <f>G174/F174*100</f>
        <v>110.39789789789789</v>
      </c>
      <c r="I174" s="8">
        <f>G174/(E174/100000)</f>
        <v>18697.946468306949</v>
      </c>
      <c r="J174" s="1">
        <v>5</v>
      </c>
      <c r="K174" s="9">
        <f>I174/100000</f>
        <v>0.1869794646830695</v>
      </c>
      <c r="L174" s="1">
        <v>0.58199999999999996</v>
      </c>
      <c r="M174" s="10">
        <v>0.37219999999999998</v>
      </c>
      <c r="N174" s="9">
        <f>0.3328+(0.3351*K174)-(0.3324*L174)+(0.333*M173)</f>
        <v>0.28544981861529661</v>
      </c>
    </row>
    <row r="175" spans="1:14" ht="15.75" x14ac:dyDescent="0.25">
      <c r="A175">
        <v>173</v>
      </c>
      <c r="B175" s="4" t="s">
        <v>159</v>
      </c>
      <c r="C175" s="5" t="s">
        <v>191</v>
      </c>
      <c r="D175" s="1">
        <v>8313</v>
      </c>
      <c r="E175" s="6">
        <v>23170</v>
      </c>
      <c r="F175" s="6">
        <v>3706</v>
      </c>
      <c r="G175" s="6">
        <v>4599</v>
      </c>
      <c r="H175" s="7">
        <f>G175/F175*100</f>
        <v>124.09606044252564</v>
      </c>
      <c r="I175" s="8">
        <f>G175/(E175/100000)</f>
        <v>19848.942598187314</v>
      </c>
      <c r="J175" s="1">
        <v>5</v>
      </c>
      <c r="K175" s="9">
        <f>I175/100000</f>
        <v>0.19848942598187314</v>
      </c>
      <c r="L175" s="1">
        <v>0.53900000000000003</v>
      </c>
      <c r="M175" s="10">
        <v>0.48709999999999998</v>
      </c>
      <c r="N175" s="9">
        <f>0.3328+(0.3351*K175)-(0.3324*L175)+(0.333*M174)</f>
        <v>0.34409280664652564</v>
      </c>
    </row>
    <row r="176" spans="1:14" ht="15.75" x14ac:dyDescent="0.25">
      <c r="A176">
        <v>174</v>
      </c>
      <c r="B176" s="4" t="s">
        <v>159</v>
      </c>
      <c r="C176" s="5" t="s">
        <v>192</v>
      </c>
      <c r="D176" s="1">
        <v>8314</v>
      </c>
      <c r="E176" s="6">
        <v>6016</v>
      </c>
      <c r="F176" s="6">
        <v>1422</v>
      </c>
      <c r="G176" s="6">
        <v>551</v>
      </c>
      <c r="H176" s="7">
        <f>G176/F176*100</f>
        <v>38.748241912798875</v>
      </c>
      <c r="I176" s="8">
        <f>G176/(E176/100000)</f>
        <v>9158.9095744680853</v>
      </c>
      <c r="J176" s="1">
        <v>5</v>
      </c>
      <c r="K176" s="9">
        <f>I176/100000</f>
        <v>9.1589095744680854E-2</v>
      </c>
      <c r="L176" s="1">
        <v>0.29799999999999999</v>
      </c>
      <c r="M176" s="10">
        <v>0.37459999999999999</v>
      </c>
      <c r="N176" s="9">
        <f>0.3328+(0.3351*K176)-(0.3324*L176)+(0.333*M175)</f>
        <v>0.42664060598404252</v>
      </c>
    </row>
    <row r="177" spans="1:14" ht="15.75" x14ac:dyDescent="0.25">
      <c r="A177">
        <v>175</v>
      </c>
      <c r="B177" s="4" t="s">
        <v>193</v>
      </c>
      <c r="C177" s="5" t="s">
        <v>194</v>
      </c>
      <c r="D177" s="1">
        <v>9101</v>
      </c>
      <c r="E177" s="6">
        <v>292518</v>
      </c>
      <c r="F177" s="6">
        <v>50846</v>
      </c>
      <c r="G177" s="6">
        <v>38842</v>
      </c>
      <c r="H177" s="7">
        <f>G177/F177*100</f>
        <v>76.391456555087913</v>
      </c>
      <c r="I177" s="8">
        <f>G177/(E177/100000)</f>
        <v>13278.499100910029</v>
      </c>
      <c r="J177" s="1">
        <v>1</v>
      </c>
      <c r="K177" s="9">
        <f>I177/100000</f>
        <v>0.13278499100910029</v>
      </c>
      <c r="L177" s="1">
        <v>0.68700000000000006</v>
      </c>
      <c r="M177" s="10">
        <v>6.0900000000000003E-2</v>
      </c>
      <c r="N177" s="9">
        <f>0.3328+(0.3351*K177)-(0.3324*L177)+(0.333*M176)</f>
        <v>0.27367925048714947</v>
      </c>
    </row>
    <row r="178" spans="1:14" ht="15.75" x14ac:dyDescent="0.25">
      <c r="A178">
        <v>176</v>
      </c>
      <c r="B178" s="4" t="s">
        <v>193</v>
      </c>
      <c r="C178" s="5" t="s">
        <v>195</v>
      </c>
      <c r="D178" s="1">
        <v>9102</v>
      </c>
      <c r="E178" s="6">
        <v>24957</v>
      </c>
      <c r="F178" s="6">
        <v>4573</v>
      </c>
      <c r="G178" s="6">
        <v>4451</v>
      </c>
      <c r="H178" s="7">
        <f>G178/F178*100</f>
        <v>97.332167067570523</v>
      </c>
      <c r="I178" s="8">
        <f>G178/(E178/100000)</f>
        <v>17834.675642104419</v>
      </c>
      <c r="J178" s="1">
        <v>5</v>
      </c>
      <c r="K178" s="9">
        <f>I178/100000</f>
        <v>0.17834675642104419</v>
      </c>
      <c r="L178" s="1">
        <v>0.438</v>
      </c>
      <c r="M178" s="10">
        <v>0.50360000000000005</v>
      </c>
      <c r="N178" s="9">
        <f>0.3328+(0.3351*K178)-(0.3324*L178)+(0.333*M177)</f>
        <v>0.26725249807669194</v>
      </c>
    </row>
    <row r="179" spans="1:14" ht="15.75" x14ac:dyDescent="0.25">
      <c r="A179">
        <v>177</v>
      </c>
      <c r="B179" s="4" t="s">
        <v>193</v>
      </c>
      <c r="C179" s="5" t="s">
        <v>196</v>
      </c>
      <c r="D179" s="1">
        <v>9103</v>
      </c>
      <c r="E179" s="6">
        <v>19177</v>
      </c>
      <c r="F179" s="6">
        <v>3260</v>
      </c>
      <c r="G179" s="6">
        <v>3850</v>
      </c>
      <c r="H179" s="7">
        <f>G179/F179*100</f>
        <v>118.09815950920246</v>
      </c>
      <c r="I179" s="8">
        <f>G179/(E179/100000)</f>
        <v>20076.132867497523</v>
      </c>
      <c r="J179" s="1">
        <v>4</v>
      </c>
      <c r="K179" s="9">
        <f>I179/100000</f>
        <v>0.20076132867497523</v>
      </c>
      <c r="L179" s="1">
        <v>0.47699999999999998</v>
      </c>
      <c r="M179" s="10">
        <v>0.37490000000000001</v>
      </c>
      <c r="N179" s="9">
        <f>0.3328+(0.3351*K179)-(0.3324*L179)+(0.333*M178)</f>
        <v>0.4092191212389843</v>
      </c>
    </row>
    <row r="180" spans="1:14" ht="15.75" x14ac:dyDescent="0.25">
      <c r="A180">
        <v>178</v>
      </c>
      <c r="B180" s="4" t="s">
        <v>193</v>
      </c>
      <c r="C180" s="5" t="s">
        <v>197</v>
      </c>
      <c r="D180" s="1">
        <v>9104</v>
      </c>
      <c r="E180" s="6">
        <v>7733</v>
      </c>
      <c r="F180" s="6">
        <v>1543</v>
      </c>
      <c r="G180" s="6">
        <v>1126</v>
      </c>
      <c r="H180" s="7">
        <f>G180/F180*100</f>
        <v>72.974724562540501</v>
      </c>
      <c r="I180" s="8">
        <f>G180/(E180/100000)</f>
        <v>14560.972455709298</v>
      </c>
      <c r="J180" s="1">
        <v>5</v>
      </c>
      <c r="K180" s="9">
        <f>I180/100000</f>
        <v>0.14560972455709298</v>
      </c>
      <c r="L180" s="1">
        <v>0.34499999999999997</v>
      </c>
      <c r="M180" s="10">
        <v>0.63870000000000005</v>
      </c>
      <c r="N180" s="9">
        <f>0.3328+(0.3351*K180)-(0.3324*L180)+(0.333*M179)</f>
        <v>0.39175751869908182</v>
      </c>
    </row>
    <row r="181" spans="1:14" ht="15.75" x14ac:dyDescent="0.25">
      <c r="A181">
        <v>179</v>
      </c>
      <c r="B181" s="4" t="s">
        <v>193</v>
      </c>
      <c r="C181" s="5" t="s">
        <v>198</v>
      </c>
      <c r="D181" s="1">
        <v>9105</v>
      </c>
      <c r="E181" s="6">
        <v>26164</v>
      </c>
      <c r="F181" s="6">
        <v>4377</v>
      </c>
      <c r="G181" s="6">
        <v>4580</v>
      </c>
      <c r="H181" s="7">
        <f>G181/F181*100</f>
        <v>104.63787982636509</v>
      </c>
      <c r="I181" s="8">
        <f>G181/(E181/100000)</f>
        <v>17504.968659226419</v>
      </c>
      <c r="J181" s="1">
        <v>5</v>
      </c>
      <c r="K181" s="9">
        <f>I181/100000</f>
        <v>0.17504968659226419</v>
      </c>
      <c r="L181" s="1">
        <v>0.49099999999999999</v>
      </c>
      <c r="M181" s="10">
        <v>0.31719999999999998</v>
      </c>
      <c r="N181" s="9">
        <f>0.3328+(0.3351*K181)-(0.3324*L181)+(0.333*M180)</f>
        <v>0.44093784997706775</v>
      </c>
    </row>
    <row r="182" spans="1:14" ht="15.75" x14ac:dyDescent="0.25">
      <c r="A182">
        <v>180</v>
      </c>
      <c r="B182" s="4" t="s">
        <v>193</v>
      </c>
      <c r="C182" s="5" t="s">
        <v>199</v>
      </c>
      <c r="D182" s="1">
        <v>9106</v>
      </c>
      <c r="E182" s="6">
        <v>12710</v>
      </c>
      <c r="F182" s="6">
        <v>2452</v>
      </c>
      <c r="G182" s="6">
        <v>2054</v>
      </c>
      <c r="H182" s="7">
        <f>G182/F182*100</f>
        <v>83.768352365415993</v>
      </c>
      <c r="I182" s="8">
        <f>G182/(E182/100000)</f>
        <v>16160.503540519278</v>
      </c>
      <c r="J182" s="1">
        <v>5</v>
      </c>
      <c r="K182" s="9">
        <f>I182/100000</f>
        <v>0.16160503540519278</v>
      </c>
      <c r="L182" s="1">
        <v>0.40500000000000003</v>
      </c>
      <c r="M182" s="10">
        <v>0.44569999999999999</v>
      </c>
      <c r="N182" s="9">
        <f>0.3328+(0.3351*K182)-(0.3324*L182)+(0.333*M181)</f>
        <v>0.35795944736428004</v>
      </c>
    </row>
    <row r="183" spans="1:14" ht="15.75" x14ac:dyDescent="0.25">
      <c r="A183">
        <v>181</v>
      </c>
      <c r="B183" s="4" t="s">
        <v>193</v>
      </c>
      <c r="C183" s="5" t="s">
        <v>200</v>
      </c>
      <c r="D183" s="1">
        <v>9107</v>
      </c>
      <c r="E183" s="6">
        <v>14148</v>
      </c>
      <c r="F183" s="6">
        <v>2276</v>
      </c>
      <c r="G183" s="6">
        <v>2911</v>
      </c>
      <c r="H183" s="7">
        <f>G183/F183*100</f>
        <v>127.89982425307558</v>
      </c>
      <c r="I183" s="8">
        <f>G183/(E183/100000)</f>
        <v>20575.34633870512</v>
      </c>
      <c r="J183" s="1">
        <v>3</v>
      </c>
      <c r="K183" s="9">
        <f>I183/100000</f>
        <v>0.20575346338705119</v>
      </c>
      <c r="L183" s="1">
        <v>0.52400000000000002</v>
      </c>
      <c r="M183" s="10">
        <v>0.36380000000000001</v>
      </c>
      <c r="N183" s="9">
        <f>0.3328+(0.3351*K183)-(0.3324*L183)+(0.333*M182)</f>
        <v>0.37598848558100084</v>
      </c>
    </row>
    <row r="184" spans="1:14" ht="15.75" x14ac:dyDescent="0.25">
      <c r="A184">
        <v>182</v>
      </c>
      <c r="B184" s="4" t="s">
        <v>193</v>
      </c>
      <c r="C184" s="5" t="s">
        <v>201</v>
      </c>
      <c r="D184" s="1">
        <v>9108</v>
      </c>
      <c r="E184" s="6">
        <v>41936</v>
      </c>
      <c r="F184" s="6">
        <v>8231</v>
      </c>
      <c r="G184" s="6">
        <v>5749</v>
      </c>
      <c r="H184" s="7">
        <f>G184/F184*100</f>
        <v>69.84570526060017</v>
      </c>
      <c r="I184" s="8">
        <f>G184/(E184/100000)</f>
        <v>13708.985120183135</v>
      </c>
      <c r="J184" s="1">
        <v>3</v>
      </c>
      <c r="K184" s="9">
        <f>I184/100000</f>
        <v>0.13708985120183134</v>
      </c>
      <c r="L184" s="1">
        <v>0.54700000000000004</v>
      </c>
      <c r="M184" s="10">
        <v>7.3900000000000007E-2</v>
      </c>
      <c r="N184" s="9">
        <f>0.3328+(0.3351*K184)-(0.3324*L184)+(0.333*M183)</f>
        <v>0.31806140913773367</v>
      </c>
    </row>
    <row r="185" spans="1:14" ht="15.75" x14ac:dyDescent="0.25">
      <c r="A185">
        <v>183</v>
      </c>
      <c r="B185" s="4" t="s">
        <v>193</v>
      </c>
      <c r="C185" s="5" t="s">
        <v>202</v>
      </c>
      <c r="D185" s="1">
        <v>9109</v>
      </c>
      <c r="E185" s="6">
        <v>25158</v>
      </c>
      <c r="F185" s="6">
        <v>4416</v>
      </c>
      <c r="G185" s="6">
        <v>4551</v>
      </c>
      <c r="H185" s="7">
        <f>G185/F185*100</f>
        <v>103.05706521739131</v>
      </c>
      <c r="I185" s="8">
        <f>G185/(E185/100000)</f>
        <v>18089.673264965415</v>
      </c>
      <c r="J185" s="1">
        <v>3</v>
      </c>
      <c r="K185" s="9">
        <f>I185/100000</f>
        <v>0.18089673264965414</v>
      </c>
      <c r="L185" s="1">
        <v>0.51600000000000001</v>
      </c>
      <c r="M185" s="10">
        <v>0.2482</v>
      </c>
      <c r="N185" s="9">
        <f>0.3328+(0.3351*K185)-(0.3324*L185)+(0.333*M184)</f>
        <v>0.24650879511089913</v>
      </c>
    </row>
    <row r="186" spans="1:14" ht="15.75" x14ac:dyDescent="0.25">
      <c r="A186">
        <v>184</v>
      </c>
      <c r="B186" s="4" t="s">
        <v>193</v>
      </c>
      <c r="C186" s="5" t="s">
        <v>203</v>
      </c>
      <c r="D186" s="1">
        <v>9110</v>
      </c>
      <c r="E186" s="6">
        <v>6796</v>
      </c>
      <c r="F186" s="6">
        <v>1208</v>
      </c>
      <c r="G186" s="6">
        <v>1274</v>
      </c>
      <c r="H186" s="7">
        <f>G186/F186*100</f>
        <v>105.4635761589404</v>
      </c>
      <c r="I186" s="8">
        <f>G186/(E186/100000)</f>
        <v>18746.32136550912</v>
      </c>
      <c r="J186" s="1">
        <v>5</v>
      </c>
      <c r="K186" s="9">
        <f>I186/100000</f>
        <v>0.18746321365509119</v>
      </c>
      <c r="L186" s="1">
        <v>0.44</v>
      </c>
      <c r="M186" s="10">
        <v>0.28499999999999998</v>
      </c>
      <c r="N186" s="9">
        <f>0.3328+(0.3351*K186)-(0.3324*L186)+(0.333*M185)</f>
        <v>0.33201352289582103</v>
      </c>
    </row>
    <row r="187" spans="1:14" ht="15.75" x14ac:dyDescent="0.25">
      <c r="A187">
        <v>185</v>
      </c>
      <c r="B187" s="4" t="s">
        <v>193</v>
      </c>
      <c r="C187" s="5" t="s">
        <v>204</v>
      </c>
      <c r="D187" s="1">
        <v>9111</v>
      </c>
      <c r="E187" s="6">
        <v>33988</v>
      </c>
      <c r="F187" s="6">
        <v>6232</v>
      </c>
      <c r="G187" s="6">
        <v>5787</v>
      </c>
      <c r="H187" s="7">
        <f>G187/F187*100</f>
        <v>92.859435173299104</v>
      </c>
      <c r="I187" s="8">
        <f>G187/(E187/100000)</f>
        <v>17026.597622690362</v>
      </c>
      <c r="J187" s="1">
        <v>5</v>
      </c>
      <c r="K187" s="9">
        <f>I187/100000</f>
        <v>0.17026597622690362</v>
      </c>
      <c r="L187" s="1">
        <v>0.48599999999999999</v>
      </c>
      <c r="M187" s="10">
        <v>0.49809999999999999</v>
      </c>
      <c r="N187" s="9">
        <f>0.3328+(0.3351*K187)-(0.3324*L187)+(0.333*M186)</f>
        <v>0.32321472863363543</v>
      </c>
    </row>
    <row r="188" spans="1:14" ht="15.75" x14ac:dyDescent="0.25">
      <c r="A188">
        <v>186</v>
      </c>
      <c r="B188" s="4" t="s">
        <v>193</v>
      </c>
      <c r="C188" s="5" t="s">
        <v>205</v>
      </c>
      <c r="D188" s="1">
        <v>9112</v>
      </c>
      <c r="E188" s="6">
        <v>80656</v>
      </c>
      <c r="F188" s="6">
        <v>15982</v>
      </c>
      <c r="G188" s="6">
        <v>10001</v>
      </c>
      <c r="H188" s="7">
        <f>G188/F188*100</f>
        <v>62.576648729821052</v>
      </c>
      <c r="I188" s="8">
        <f>G188/(E188/100000)</f>
        <v>12399.573497321959</v>
      </c>
      <c r="J188" s="1">
        <v>3</v>
      </c>
      <c r="K188" s="9">
        <f>I188/100000</f>
        <v>0.12399573497321958</v>
      </c>
      <c r="L188" s="1">
        <v>0.53100000000000003</v>
      </c>
      <c r="M188" s="10">
        <v>0.3362</v>
      </c>
      <c r="N188" s="9">
        <f>0.3328+(0.3351*K188)-(0.3324*L188)+(0.333*M187)</f>
        <v>0.36371387078952583</v>
      </c>
    </row>
    <row r="189" spans="1:14" ht="15.75" x14ac:dyDescent="0.25">
      <c r="A189">
        <v>187</v>
      </c>
      <c r="B189" s="4" t="s">
        <v>193</v>
      </c>
      <c r="C189" s="5" t="s">
        <v>206</v>
      </c>
      <c r="D189" s="1">
        <v>9113</v>
      </c>
      <c r="E189" s="6">
        <v>7438</v>
      </c>
      <c r="F189" s="6">
        <v>1383</v>
      </c>
      <c r="G189" s="6">
        <v>1191</v>
      </c>
      <c r="H189" s="7">
        <f>G189/F189*100</f>
        <v>86.117136659436014</v>
      </c>
      <c r="I189" s="8">
        <f>G189/(E189/100000)</f>
        <v>16012.36891637537</v>
      </c>
      <c r="J189" s="1">
        <v>5</v>
      </c>
      <c r="K189" s="9">
        <f>I189/100000</f>
        <v>0.16012368916375369</v>
      </c>
      <c r="L189" s="1">
        <v>0.47</v>
      </c>
      <c r="M189" s="10">
        <v>0.30180000000000001</v>
      </c>
      <c r="N189" s="9">
        <f>0.3328+(0.3351*K189)-(0.3324*L189)+(0.333*M188)</f>
        <v>0.34218404823877391</v>
      </c>
    </row>
    <row r="190" spans="1:14" ht="15.75" x14ac:dyDescent="0.25">
      <c r="A190">
        <v>188</v>
      </c>
      <c r="B190" s="4" t="s">
        <v>193</v>
      </c>
      <c r="C190" s="5" t="s">
        <v>207</v>
      </c>
      <c r="D190" s="1">
        <v>9114</v>
      </c>
      <c r="E190" s="6">
        <v>27041</v>
      </c>
      <c r="F190" s="6">
        <v>4797</v>
      </c>
      <c r="G190" s="6">
        <v>4569</v>
      </c>
      <c r="H190" s="7">
        <f>G190/F190*100</f>
        <v>95.247029393370852</v>
      </c>
      <c r="I190" s="8">
        <f>G190/(E190/100000)</f>
        <v>16896.564476165822</v>
      </c>
      <c r="J190" s="1">
        <v>3</v>
      </c>
      <c r="K190" s="9">
        <f>I190/100000</f>
        <v>0.16896564476165823</v>
      </c>
      <c r="L190" s="1">
        <v>0.53700000000000003</v>
      </c>
      <c r="M190" s="10">
        <v>0.2303</v>
      </c>
      <c r="N190" s="9">
        <f>0.3328+(0.3351*K190)-(0.3324*L190)+(0.333*M189)</f>
        <v>0.31142098755963166</v>
      </c>
    </row>
    <row r="191" spans="1:14" ht="15.75" x14ac:dyDescent="0.25">
      <c r="A191">
        <v>189</v>
      </c>
      <c r="B191" s="4" t="s">
        <v>193</v>
      </c>
      <c r="C191" s="5" t="s">
        <v>208</v>
      </c>
      <c r="D191" s="1">
        <v>9115</v>
      </c>
      <c r="E191" s="6">
        <v>32321</v>
      </c>
      <c r="F191" s="6">
        <v>6183</v>
      </c>
      <c r="G191" s="6">
        <v>4354</v>
      </c>
      <c r="H191" s="7">
        <f>G191/F191*100</f>
        <v>70.418890506226745</v>
      </c>
      <c r="I191" s="8">
        <f>G191/(E191/100000)</f>
        <v>13471.117849076452</v>
      </c>
      <c r="J191" s="1">
        <v>4</v>
      </c>
      <c r="K191" s="9">
        <f>I191/100000</f>
        <v>0.13471117849076453</v>
      </c>
      <c r="L191" s="1">
        <v>0.56399999999999995</v>
      </c>
      <c r="M191" s="10">
        <v>0.3085</v>
      </c>
      <c r="N191" s="9">
        <f>0.3328+(0.3351*K191)-(0.3324*L191)+(0.333*M190)</f>
        <v>0.26715801591225519</v>
      </c>
    </row>
    <row r="192" spans="1:14" ht="15.75" x14ac:dyDescent="0.25">
      <c r="A192">
        <v>190</v>
      </c>
      <c r="B192" s="4" t="s">
        <v>193</v>
      </c>
      <c r="C192" s="5" t="s">
        <v>209</v>
      </c>
      <c r="D192" s="11">
        <v>9116</v>
      </c>
      <c r="E192" s="6">
        <v>12877</v>
      </c>
      <c r="F192" s="6">
        <v>2352</v>
      </c>
      <c r="G192" s="6">
        <v>2481</v>
      </c>
      <c r="H192" s="7">
        <f>G192/F192*100</f>
        <v>105.48469387755102</v>
      </c>
      <c r="I192" s="8">
        <f>G192/(E192/100000)</f>
        <v>19266.909994563954</v>
      </c>
      <c r="J192" s="1">
        <v>5</v>
      </c>
      <c r="K192" s="9">
        <f>I192/100000</f>
        <v>0.19266909994563955</v>
      </c>
      <c r="L192" s="1">
        <v>0.32400000000000001</v>
      </c>
      <c r="M192" s="10">
        <v>0.53170000000000006</v>
      </c>
      <c r="N192" s="9">
        <f>0.3328+(0.3351*K192)-(0.3324*L192)+(0.333*M191)</f>
        <v>0.39239631539178377</v>
      </c>
    </row>
    <row r="193" spans="1:14" ht="15.75" x14ac:dyDescent="0.25">
      <c r="A193">
        <v>191</v>
      </c>
      <c r="B193" s="4" t="s">
        <v>193</v>
      </c>
      <c r="C193" s="5" t="s">
        <v>210</v>
      </c>
      <c r="D193" s="1">
        <v>9117</v>
      </c>
      <c r="E193" s="6">
        <v>15639</v>
      </c>
      <c r="F193" s="6">
        <v>2788</v>
      </c>
      <c r="G193" s="6">
        <v>3121</v>
      </c>
      <c r="H193" s="7">
        <f>G193/F193*100</f>
        <v>111.94404591104734</v>
      </c>
      <c r="I193" s="8">
        <f>G193/(E193/100000)</f>
        <v>19956.518959012723</v>
      </c>
      <c r="J193" s="1">
        <v>5</v>
      </c>
      <c r="K193" s="9">
        <f>I193/100000</f>
        <v>0.19956518959012723</v>
      </c>
      <c r="L193" s="1">
        <v>0.35799999999999998</v>
      </c>
      <c r="M193" s="10">
        <v>0.4773</v>
      </c>
      <c r="N193" s="9">
        <f>0.3328+(0.3351*K193)-(0.3324*L193)+(0.333*M192)</f>
        <v>0.45773119503165172</v>
      </c>
    </row>
    <row r="194" spans="1:14" ht="15.75" x14ac:dyDescent="0.25">
      <c r="A194">
        <v>192</v>
      </c>
      <c r="B194" s="4" t="s">
        <v>193</v>
      </c>
      <c r="C194" s="5" t="s">
        <v>211</v>
      </c>
      <c r="D194" s="1">
        <v>9118</v>
      </c>
      <c r="E194" s="6">
        <v>10041</v>
      </c>
      <c r="F194" s="6">
        <v>1709</v>
      </c>
      <c r="G194" s="6">
        <v>1870</v>
      </c>
      <c r="H194" s="7">
        <f>G194/F194*100</f>
        <v>109.42071386775893</v>
      </c>
      <c r="I194" s="8">
        <f>G194/(E194/100000)</f>
        <v>18623.643063439897</v>
      </c>
      <c r="J194" s="1">
        <v>5</v>
      </c>
      <c r="K194" s="9">
        <f>I194/100000</f>
        <v>0.18623643063439896</v>
      </c>
      <c r="L194" s="1">
        <v>0.44400000000000001</v>
      </c>
      <c r="M194" s="10">
        <v>0.50109999999999999</v>
      </c>
      <c r="N194" s="9">
        <f>0.3328+(0.3351*K194)-(0.3324*L194)+(0.333*M193)</f>
        <v>0.40656312790558707</v>
      </c>
    </row>
    <row r="195" spans="1:14" ht="15.75" x14ac:dyDescent="0.25">
      <c r="A195">
        <v>193</v>
      </c>
      <c r="B195" s="4" t="s">
        <v>193</v>
      </c>
      <c r="C195" s="5" t="s">
        <v>212</v>
      </c>
      <c r="D195" s="1">
        <v>9119</v>
      </c>
      <c r="E195" s="6">
        <v>31575</v>
      </c>
      <c r="F195" s="6">
        <v>6119</v>
      </c>
      <c r="G195" s="6">
        <v>4324</v>
      </c>
      <c r="H195" s="7">
        <f>G195/F195*100</f>
        <v>70.665141362967816</v>
      </c>
      <c r="I195" s="8">
        <f>G195/(E195/100000)</f>
        <v>13694.378463974665</v>
      </c>
      <c r="J195" s="1">
        <v>4</v>
      </c>
      <c r="K195" s="9">
        <f>I195/100000</f>
        <v>0.13694378463974666</v>
      </c>
      <c r="L195" s="1">
        <v>0.53200000000000003</v>
      </c>
      <c r="M195" s="10">
        <v>0.29270000000000002</v>
      </c>
      <c r="N195" s="9">
        <f>0.3328+(0.3351*K195)-(0.3324*L195)+(0.333*M194)</f>
        <v>0.36871936223277912</v>
      </c>
    </row>
    <row r="196" spans="1:14" ht="15.75" x14ac:dyDescent="0.25">
      <c r="A196">
        <v>194</v>
      </c>
      <c r="B196" s="4" t="s">
        <v>193</v>
      </c>
      <c r="C196" s="5" t="s">
        <v>213</v>
      </c>
      <c r="D196" s="1">
        <v>9120</v>
      </c>
      <c r="E196" s="6">
        <v>67737</v>
      </c>
      <c r="F196" s="6">
        <v>13190</v>
      </c>
      <c r="G196" s="6">
        <v>9847</v>
      </c>
      <c r="H196" s="7">
        <f>G196/F196*100</f>
        <v>74.655041698256255</v>
      </c>
      <c r="I196" s="8">
        <f>G196/(E196/100000)</f>
        <v>14537.106751110914</v>
      </c>
      <c r="J196" s="1">
        <v>3</v>
      </c>
      <c r="K196" s="9">
        <f>I196/100000</f>
        <v>0.14537106751110915</v>
      </c>
      <c r="L196" s="1">
        <v>0.56299999999999994</v>
      </c>
      <c r="M196" s="10">
        <v>0.32329999999999998</v>
      </c>
      <c r="N196" s="9">
        <f>0.3328+(0.3351*K196)-(0.3324*L196)+(0.333*M195)</f>
        <v>0.2918417447229727</v>
      </c>
    </row>
    <row r="197" spans="1:14" ht="15.75" x14ac:dyDescent="0.25">
      <c r="A197">
        <v>195</v>
      </c>
      <c r="B197" s="4" t="s">
        <v>193</v>
      </c>
      <c r="C197" s="5" t="s">
        <v>214</v>
      </c>
      <c r="D197" s="1">
        <v>9121</v>
      </c>
      <c r="E197" s="6">
        <v>13167</v>
      </c>
      <c r="F197" s="6">
        <v>2683</v>
      </c>
      <c r="G197" s="6">
        <v>2049</v>
      </c>
      <c r="H197" s="7">
        <f>G197/F197*100</f>
        <v>76.369735370853519</v>
      </c>
      <c r="I197" s="8">
        <f>G197/(E197/100000)</f>
        <v>15561.631351105034</v>
      </c>
      <c r="J197" s="1">
        <v>5</v>
      </c>
      <c r="K197" s="9">
        <f>I197/100000</f>
        <v>0.15561631351105035</v>
      </c>
      <c r="L197" s="1">
        <v>0.38200000000000001</v>
      </c>
      <c r="M197" s="10">
        <v>0.39190000000000003</v>
      </c>
      <c r="N197" s="9">
        <f>0.3328+(0.3351*K197)-(0.3324*L197)+(0.333*M196)</f>
        <v>0.36562912665755298</v>
      </c>
    </row>
    <row r="198" spans="1:14" ht="15.75" x14ac:dyDescent="0.25">
      <c r="A198">
        <v>196</v>
      </c>
      <c r="B198" s="4" t="s">
        <v>193</v>
      </c>
      <c r="C198" s="5" t="s">
        <v>215</v>
      </c>
      <c r="D198" s="1">
        <v>9201</v>
      </c>
      <c r="E198" s="6">
        <v>53022</v>
      </c>
      <c r="F198" s="6">
        <v>9807</v>
      </c>
      <c r="G198" s="6">
        <v>8223</v>
      </c>
      <c r="H198" s="7">
        <f>G198/F198*100</f>
        <v>83.848271642704191</v>
      </c>
      <c r="I198" s="8">
        <f>G198/(E198/100000)</f>
        <v>15508.656783976461</v>
      </c>
      <c r="J198" s="1">
        <v>3</v>
      </c>
      <c r="K198" s="9">
        <f>I198/100000</f>
        <v>0.1550865678397646</v>
      </c>
      <c r="L198" s="1">
        <v>0.625</v>
      </c>
      <c r="M198" s="10">
        <v>0.35489999999999999</v>
      </c>
      <c r="N198" s="9">
        <f>0.3328+(0.3351*K198)-(0.3324*L198)+(0.333*M197)</f>
        <v>0.30752220888310516</v>
      </c>
    </row>
    <row r="199" spans="1:14" ht="15.75" x14ac:dyDescent="0.25">
      <c r="A199">
        <v>197</v>
      </c>
      <c r="B199" s="4" t="s">
        <v>193</v>
      </c>
      <c r="C199" s="5" t="s">
        <v>216</v>
      </c>
      <c r="D199" s="1">
        <v>9202</v>
      </c>
      <c r="E199" s="6">
        <v>24303</v>
      </c>
      <c r="F199" s="6">
        <v>4566</v>
      </c>
      <c r="G199" s="6">
        <v>3739</v>
      </c>
      <c r="H199" s="7">
        <f>G199/F199*100</f>
        <v>81.887866841874725</v>
      </c>
      <c r="I199" s="8">
        <f>G199/(E199/100000)</f>
        <v>15384.931901411348</v>
      </c>
      <c r="J199" s="1">
        <v>3</v>
      </c>
      <c r="K199" s="9">
        <f>I199/100000</f>
        <v>0.15384931901411347</v>
      </c>
      <c r="L199" s="1">
        <v>0.52</v>
      </c>
      <c r="M199" s="10">
        <v>0.39150000000000001</v>
      </c>
      <c r="N199" s="9">
        <f>0.3328+(0.3351*K199)-(0.3324*L199)+(0.333*M198)</f>
        <v>0.32968860680162942</v>
      </c>
    </row>
    <row r="200" spans="1:14" ht="15.75" x14ac:dyDescent="0.25">
      <c r="A200">
        <v>198</v>
      </c>
      <c r="B200" s="4" t="s">
        <v>193</v>
      </c>
      <c r="C200" s="5" t="s">
        <v>217</v>
      </c>
      <c r="D200" s="1">
        <v>9203</v>
      </c>
      <c r="E200" s="6">
        <v>18536</v>
      </c>
      <c r="F200" s="6">
        <v>3185</v>
      </c>
      <c r="G200" s="6">
        <v>3516</v>
      </c>
      <c r="H200" s="7">
        <f>G200/F200*100</f>
        <v>110.39246467817895</v>
      </c>
      <c r="I200" s="8">
        <f>G200/(E200/100000)</f>
        <v>18968.493741907638</v>
      </c>
      <c r="J200" s="1">
        <v>3</v>
      </c>
      <c r="K200" s="9">
        <f>I200/100000</f>
        <v>0.18968493741907638</v>
      </c>
      <c r="L200" s="1">
        <v>0.54700000000000004</v>
      </c>
      <c r="M200" s="10">
        <v>0.67510000000000003</v>
      </c>
      <c r="N200" s="9">
        <f>0.3328+(0.3351*K200)-(0.3324*L200)+(0.333*M199)</f>
        <v>0.34491012252913245</v>
      </c>
    </row>
    <row r="201" spans="1:14" ht="15.75" x14ac:dyDescent="0.25">
      <c r="A201">
        <v>199</v>
      </c>
      <c r="B201" s="4" t="s">
        <v>193</v>
      </c>
      <c r="C201" s="5" t="s">
        <v>218</v>
      </c>
      <c r="D201" s="1">
        <v>9204</v>
      </c>
      <c r="E201" s="6">
        <v>7730</v>
      </c>
      <c r="F201" s="6">
        <v>1571</v>
      </c>
      <c r="G201" s="6">
        <v>1225</v>
      </c>
      <c r="H201" s="7">
        <f>G201/F201*100</f>
        <v>77.97581158497772</v>
      </c>
      <c r="I201" s="8">
        <f>G201/(E201/100000)</f>
        <v>15847.347994825357</v>
      </c>
      <c r="J201" s="1">
        <v>5</v>
      </c>
      <c r="K201" s="9">
        <f>I201/100000</f>
        <v>0.15847347994825356</v>
      </c>
      <c r="L201" s="1">
        <v>0.374</v>
      </c>
      <c r="M201" s="10">
        <v>0.50360000000000005</v>
      </c>
      <c r="N201" s="9">
        <f>0.3328+(0.3351*K201)-(0.3324*L201)+(0.333*M200)</f>
        <v>0.48639516313065978</v>
      </c>
    </row>
    <row r="202" spans="1:14" ht="15.75" x14ac:dyDescent="0.25">
      <c r="A202">
        <v>200</v>
      </c>
      <c r="B202" s="4" t="s">
        <v>193</v>
      </c>
      <c r="C202" s="5" t="s">
        <v>219</v>
      </c>
      <c r="D202" s="1">
        <v>9205</v>
      </c>
      <c r="E202" s="6">
        <v>10247</v>
      </c>
      <c r="F202" s="6">
        <v>2074</v>
      </c>
      <c r="G202" s="6">
        <v>1587</v>
      </c>
      <c r="H202" s="7">
        <f>G202/F202*100</f>
        <v>76.518804243008674</v>
      </c>
      <c r="I202" s="8">
        <f>G202/(E202/100000)</f>
        <v>15487.459744315409</v>
      </c>
      <c r="J202" s="1">
        <v>5</v>
      </c>
      <c r="K202" s="9">
        <f>I202/100000</f>
        <v>0.1548745974431541</v>
      </c>
      <c r="L202" s="1">
        <v>0.42399999999999999</v>
      </c>
      <c r="M202" s="10">
        <v>0.45279999999999998</v>
      </c>
      <c r="N202" s="9">
        <f>0.3328+(0.3351*K202)-(0.3324*L202)+(0.333*M201)</f>
        <v>0.41145967760320096</v>
      </c>
    </row>
    <row r="203" spans="1:14" ht="15.75" x14ac:dyDescent="0.25">
      <c r="A203">
        <v>201</v>
      </c>
      <c r="B203" s="4" t="s">
        <v>193</v>
      </c>
      <c r="C203" s="5" t="s">
        <v>220</v>
      </c>
      <c r="D203" s="1">
        <v>9206</v>
      </c>
      <c r="E203" s="6">
        <v>7348</v>
      </c>
      <c r="F203" s="6">
        <v>1314</v>
      </c>
      <c r="G203" s="6">
        <v>1314</v>
      </c>
      <c r="H203" s="7">
        <f>G203/F203*100</f>
        <v>100</v>
      </c>
      <c r="I203" s="8">
        <f>G203/(E203/100000)</f>
        <v>17882.416984213389</v>
      </c>
      <c r="J203" s="1">
        <v>5</v>
      </c>
      <c r="K203" s="9">
        <f>I203/100000</f>
        <v>0.1788241698421339</v>
      </c>
      <c r="L203" s="1">
        <v>0.49299999999999999</v>
      </c>
      <c r="M203" s="10">
        <v>0.30830000000000002</v>
      </c>
      <c r="N203" s="9">
        <f>0.3328+(0.3351*K203)-(0.3324*L203)+(0.333*M202)</f>
        <v>0.37963317931409912</v>
      </c>
    </row>
    <row r="204" spans="1:14" ht="15.75" x14ac:dyDescent="0.25">
      <c r="A204">
        <v>202</v>
      </c>
      <c r="B204" s="4" t="s">
        <v>193</v>
      </c>
      <c r="C204" s="5" t="s">
        <v>221</v>
      </c>
      <c r="D204" s="1">
        <v>9207</v>
      </c>
      <c r="E204" s="6">
        <v>9253</v>
      </c>
      <c r="F204" s="6">
        <v>1670</v>
      </c>
      <c r="G204" s="6">
        <v>1583</v>
      </c>
      <c r="H204" s="7">
        <f>G204/F204*100</f>
        <v>94.790419161676638</v>
      </c>
      <c r="I204" s="8">
        <f>G204/(E204/100000)</f>
        <v>17107.964984329406</v>
      </c>
      <c r="J204" s="1">
        <v>5</v>
      </c>
      <c r="K204" s="9">
        <f>I204/100000</f>
        <v>0.17107964984329407</v>
      </c>
      <c r="L204" s="1">
        <v>0.441</v>
      </c>
      <c r="M204" s="10">
        <v>0.27660000000000001</v>
      </c>
      <c r="N204" s="9">
        <f>0.3328+(0.3351*K204)-(0.3324*L204)+(0.333*M203)</f>
        <v>0.34620429066248787</v>
      </c>
    </row>
    <row r="205" spans="1:14" ht="15.75" x14ac:dyDescent="0.25">
      <c r="A205">
        <v>203</v>
      </c>
      <c r="B205" s="4" t="s">
        <v>193</v>
      </c>
      <c r="C205" s="5" t="s">
        <v>222</v>
      </c>
      <c r="D205" s="11">
        <v>9208</v>
      </c>
      <c r="E205" s="6">
        <v>12184</v>
      </c>
      <c r="F205" s="6">
        <v>2259</v>
      </c>
      <c r="G205" s="6">
        <v>2095</v>
      </c>
      <c r="H205" s="7">
        <f>G205/F205*100</f>
        <v>92.740150509074809</v>
      </c>
      <c r="I205" s="8">
        <f>G205/(E205/100000)</f>
        <v>17194.681549573212</v>
      </c>
      <c r="J205" s="1">
        <v>5</v>
      </c>
      <c r="K205" s="9">
        <f>I205/100000</f>
        <v>0.17194681549573212</v>
      </c>
      <c r="L205" s="1">
        <v>0.49</v>
      </c>
      <c r="M205" s="10">
        <v>0.4345</v>
      </c>
      <c r="N205" s="9">
        <f>0.3328+(0.3351*K205)-(0.3324*L205)+(0.333*M204)</f>
        <v>0.31965117787261982</v>
      </c>
    </row>
    <row r="206" spans="1:14" ht="15.75" x14ac:dyDescent="0.25">
      <c r="A206">
        <v>204</v>
      </c>
      <c r="B206" s="4" t="s">
        <v>193</v>
      </c>
      <c r="C206" s="5" t="s">
        <v>223</v>
      </c>
      <c r="D206" s="1">
        <v>9209</v>
      </c>
      <c r="E206" s="6">
        <v>10686</v>
      </c>
      <c r="F206" s="6">
        <v>2012</v>
      </c>
      <c r="G206" s="6">
        <v>1654</v>
      </c>
      <c r="H206" s="7">
        <f>G206/F206*100</f>
        <v>82.206759443339962</v>
      </c>
      <c r="I206" s="8">
        <f>G206/(E206/100000)</f>
        <v>15478.195770166574</v>
      </c>
      <c r="J206" s="1">
        <v>3</v>
      </c>
      <c r="K206" s="9">
        <f>I206/100000</f>
        <v>0.15478195770166575</v>
      </c>
      <c r="L206" s="1">
        <v>0.55000000000000004</v>
      </c>
      <c r="M206" s="10">
        <v>0.21129999999999999</v>
      </c>
      <c r="N206" s="9">
        <f>0.3328+(0.3351*K206)-(0.3324*L206)+(0.333*M205)</f>
        <v>0.34653593402582816</v>
      </c>
    </row>
    <row r="207" spans="1:14" ht="15.75" x14ac:dyDescent="0.25">
      <c r="A207">
        <v>205</v>
      </c>
      <c r="B207" s="4" t="s">
        <v>193</v>
      </c>
      <c r="C207" s="5" t="s">
        <v>224</v>
      </c>
      <c r="D207" s="1">
        <v>9210</v>
      </c>
      <c r="E207" s="6">
        <v>18873</v>
      </c>
      <c r="F207" s="6">
        <v>3460</v>
      </c>
      <c r="G207" s="6">
        <v>3508</v>
      </c>
      <c r="H207" s="7">
        <f>G207/F207*100</f>
        <v>101.38728323699422</v>
      </c>
      <c r="I207" s="8">
        <f>G207/(E207/100000)</f>
        <v>18587.399989402849</v>
      </c>
      <c r="J207" s="1">
        <v>3</v>
      </c>
      <c r="K207" s="9">
        <f>I207/100000</f>
        <v>0.1858739998940285</v>
      </c>
      <c r="L207" s="1">
        <v>0.53700000000000003</v>
      </c>
      <c r="M207" s="10">
        <v>0.48089999999999999</v>
      </c>
      <c r="N207" s="9">
        <f>0.3328+(0.3351*K207)-(0.3324*L207)+(0.333*M206)</f>
        <v>0.28695047736448898</v>
      </c>
    </row>
    <row r="208" spans="1:14" ht="15.75" x14ac:dyDescent="0.25">
      <c r="A208">
        <v>206</v>
      </c>
      <c r="B208" s="4" t="s">
        <v>193</v>
      </c>
      <c r="C208" s="5" t="s">
        <v>225</v>
      </c>
      <c r="D208" s="1">
        <v>9211</v>
      </c>
      <c r="E208" s="6">
        <v>34464</v>
      </c>
      <c r="F208" s="6">
        <v>6218</v>
      </c>
      <c r="G208" s="6">
        <v>5859</v>
      </c>
      <c r="H208" s="7">
        <f>G208/F208*100</f>
        <v>94.226439369572219</v>
      </c>
      <c r="I208" s="8">
        <f>G208/(E208/100000)</f>
        <v>17000.348189415043</v>
      </c>
      <c r="J208" s="1">
        <v>3</v>
      </c>
      <c r="K208" s="9">
        <f>I208/100000</f>
        <v>0.17000348189415043</v>
      </c>
      <c r="L208" s="1">
        <v>0.57699999999999996</v>
      </c>
      <c r="M208" s="10">
        <v>0.3841</v>
      </c>
      <c r="N208" s="9">
        <f>0.3328+(0.3351*K208)-(0.3324*L208)+(0.333*M207)</f>
        <v>0.35811306678272981</v>
      </c>
    </row>
    <row r="209" spans="1:14" ht="15.75" x14ac:dyDescent="0.25">
      <c r="A209">
        <v>207</v>
      </c>
      <c r="B209" s="1" t="s">
        <v>226</v>
      </c>
      <c r="C209" s="5" t="s">
        <v>227</v>
      </c>
      <c r="D209" s="1">
        <v>10101</v>
      </c>
      <c r="E209" s="6">
        <v>277040</v>
      </c>
      <c r="F209" s="6">
        <v>51260</v>
      </c>
      <c r="G209" s="6">
        <v>28551</v>
      </c>
      <c r="H209" s="7">
        <f>G209/F209*100</f>
        <v>55.698400312134225</v>
      </c>
      <c r="I209" s="8">
        <f>G209/(E209/100000)</f>
        <v>10305.732024256426</v>
      </c>
      <c r="J209" s="1">
        <v>2</v>
      </c>
      <c r="K209" s="9">
        <f>I209/100000</f>
        <v>0.10305732024256425</v>
      </c>
      <c r="L209" s="1">
        <v>0.65200000000000002</v>
      </c>
      <c r="M209" s="10">
        <v>0.32790000000000002</v>
      </c>
      <c r="N209" s="9">
        <f>0.3328+(0.3351*K209)-(0.3324*L209)+(0.333*M208)</f>
        <v>0.27851500801328327</v>
      </c>
    </row>
    <row r="210" spans="1:14" ht="15.75" x14ac:dyDescent="0.25">
      <c r="A210">
        <v>208</v>
      </c>
      <c r="B210" s="1" t="s">
        <v>226</v>
      </c>
      <c r="C210" s="5" t="s">
        <v>228</v>
      </c>
      <c r="D210" s="1">
        <v>10102</v>
      </c>
      <c r="E210" s="6">
        <v>36474</v>
      </c>
      <c r="F210" s="6">
        <v>6428</v>
      </c>
      <c r="G210" s="6">
        <v>5400</v>
      </c>
      <c r="H210" s="7">
        <f>G210/F210*100</f>
        <v>84.007467330429378</v>
      </c>
      <c r="I210" s="8">
        <f>G210/(E210/100000)</f>
        <v>14805.066622799803</v>
      </c>
      <c r="J210" s="1">
        <v>4</v>
      </c>
      <c r="K210" s="9">
        <f>I210/100000</f>
        <v>0.14805066622799803</v>
      </c>
      <c r="L210" s="1">
        <v>0.53700000000000003</v>
      </c>
      <c r="M210" s="10">
        <v>0.43859999999999999</v>
      </c>
      <c r="N210" s="9">
        <f>0.3328+(0.3351*K210)-(0.3324*L210)+(0.333*M209)</f>
        <v>0.31310367825300212</v>
      </c>
    </row>
    <row r="211" spans="1:14" ht="15.75" x14ac:dyDescent="0.25">
      <c r="A211">
        <v>209</v>
      </c>
      <c r="B211" s="1" t="s">
        <v>226</v>
      </c>
      <c r="C211" s="5" t="s">
        <v>229</v>
      </c>
      <c r="D211" s="1">
        <v>10103</v>
      </c>
      <c r="E211" s="6">
        <v>4199</v>
      </c>
      <c r="F211" s="6">
        <v>587</v>
      </c>
      <c r="G211" s="6">
        <v>828</v>
      </c>
      <c r="H211" s="7">
        <f>G211/F211*100</f>
        <v>141.05621805792163</v>
      </c>
      <c r="I211" s="8">
        <f>G211/(E211/100000)</f>
        <v>19718.980709692783</v>
      </c>
      <c r="J211" s="1">
        <v>4</v>
      </c>
      <c r="K211" s="9">
        <f>I211/100000</f>
        <v>0.19718980709692782</v>
      </c>
      <c r="L211" s="1">
        <v>0.497</v>
      </c>
      <c r="M211" s="10">
        <v>0.52880000000000005</v>
      </c>
      <c r="N211" s="9">
        <f>0.3328+(0.3351*K211)-(0.3324*L211)+(0.333*M210)</f>
        <v>0.37972930435818053</v>
      </c>
    </row>
    <row r="212" spans="1:14" ht="15.75" x14ac:dyDescent="0.25">
      <c r="A212">
        <v>210</v>
      </c>
      <c r="B212" s="1" t="s">
        <v>226</v>
      </c>
      <c r="C212" s="5" t="s">
        <v>230</v>
      </c>
      <c r="D212" s="1">
        <v>10104</v>
      </c>
      <c r="E212" s="6">
        <v>12320</v>
      </c>
      <c r="F212" s="6">
        <v>2035</v>
      </c>
      <c r="G212" s="6">
        <v>2199</v>
      </c>
      <c r="H212" s="7">
        <f>G212/F212*100</f>
        <v>108.05896805896806</v>
      </c>
      <c r="I212" s="8">
        <f>G212/(E212/100000)</f>
        <v>17849.025974025972</v>
      </c>
      <c r="J212" s="1">
        <v>4</v>
      </c>
      <c r="K212" s="9">
        <f>I212/100000</f>
        <v>0.17849025974025973</v>
      </c>
      <c r="L212" s="1">
        <v>0.497</v>
      </c>
      <c r="M212" s="10">
        <v>0.53380000000000005</v>
      </c>
      <c r="N212" s="9">
        <f>0.3328+(0.3351*K212)-(0.3324*L212)+(0.333*M211)</f>
        <v>0.40349968603896108</v>
      </c>
    </row>
    <row r="213" spans="1:14" ht="15.75" x14ac:dyDescent="0.25">
      <c r="A213">
        <v>211</v>
      </c>
      <c r="B213" s="1" t="s">
        <v>226</v>
      </c>
      <c r="C213" s="5" t="s">
        <v>231</v>
      </c>
      <c r="D213" s="1">
        <v>10105</v>
      </c>
      <c r="E213" s="6">
        <v>22554</v>
      </c>
      <c r="F213" s="6">
        <v>4344</v>
      </c>
      <c r="G213" s="6">
        <v>3114</v>
      </c>
      <c r="H213" s="7">
        <f>G213/F213*100</f>
        <v>71.685082872928177</v>
      </c>
      <c r="I213" s="8">
        <f>G213/(E213/100000)</f>
        <v>13806.863527533918</v>
      </c>
      <c r="J213" s="1">
        <v>4</v>
      </c>
      <c r="K213" s="9">
        <f>I213/100000</f>
        <v>0.13806863527533919</v>
      </c>
      <c r="L213" s="1">
        <v>0.59199999999999997</v>
      </c>
      <c r="M213" s="10">
        <v>0.14910000000000001</v>
      </c>
      <c r="N213" s="9">
        <f>0.3328+(0.3351*K213)-(0.3324*L213)+(0.333*M212)</f>
        <v>0.36004139968076621</v>
      </c>
    </row>
    <row r="214" spans="1:14" ht="15.75" x14ac:dyDescent="0.25">
      <c r="A214">
        <v>212</v>
      </c>
      <c r="B214" s="1" t="s">
        <v>226</v>
      </c>
      <c r="C214" s="5" t="s">
        <v>232</v>
      </c>
      <c r="D214" s="1">
        <v>10106</v>
      </c>
      <c r="E214" s="6">
        <v>17162</v>
      </c>
      <c r="F214" s="6">
        <v>2887</v>
      </c>
      <c r="G214" s="6">
        <v>3087</v>
      </c>
      <c r="H214" s="7">
        <f>G214/F214*100</f>
        <v>106.92760651195013</v>
      </c>
      <c r="I214" s="8">
        <f>G214/(E214/100000)</f>
        <v>17987.414054306024</v>
      </c>
      <c r="J214" s="1">
        <v>4</v>
      </c>
      <c r="K214" s="9">
        <f>I214/100000</f>
        <v>0.17987414054306025</v>
      </c>
      <c r="L214" s="1">
        <v>0.49399999999999999</v>
      </c>
      <c r="M214" s="10">
        <v>0.55480000000000007</v>
      </c>
      <c r="N214" s="9">
        <f>0.3328+(0.3351*K214)-(0.3324*L214)+(0.333*M213)</f>
        <v>0.27852052449597953</v>
      </c>
    </row>
    <row r="215" spans="1:14" ht="15.75" x14ac:dyDescent="0.25">
      <c r="A215">
        <v>213</v>
      </c>
      <c r="B215" s="1" t="s">
        <v>226</v>
      </c>
      <c r="C215" s="5" t="s">
        <v>233</v>
      </c>
      <c r="D215" s="1">
        <v>10107</v>
      </c>
      <c r="E215" s="6">
        <v>18088</v>
      </c>
      <c r="F215" s="6">
        <v>3154</v>
      </c>
      <c r="G215" s="6">
        <v>2693</v>
      </c>
      <c r="H215" s="7">
        <f>G215/F215*100</f>
        <v>85.383639822447691</v>
      </c>
      <c r="I215" s="8">
        <f>G215/(E215/100000)</f>
        <v>14888.323750552852</v>
      </c>
      <c r="J215" s="1">
        <v>4</v>
      </c>
      <c r="K215" s="9">
        <f>I215/100000</f>
        <v>0.14888323750552851</v>
      </c>
      <c r="L215" s="1">
        <v>0.63500000000000001</v>
      </c>
      <c r="M215" s="10">
        <v>0.2069</v>
      </c>
      <c r="N215" s="9">
        <f>0.3328+(0.3351*K215)-(0.3324*L215)+(0.333*M214)</f>
        <v>0.35636517288810265</v>
      </c>
    </row>
    <row r="216" spans="1:14" ht="15.75" x14ac:dyDescent="0.25">
      <c r="A216">
        <v>214</v>
      </c>
      <c r="B216" s="1" t="s">
        <v>226</v>
      </c>
      <c r="C216" s="5" t="s">
        <v>234</v>
      </c>
      <c r="D216" s="1">
        <v>10108</v>
      </c>
      <c r="E216" s="6">
        <v>15063</v>
      </c>
      <c r="F216" s="6">
        <v>2392</v>
      </c>
      <c r="G216" s="6">
        <v>2829</v>
      </c>
      <c r="H216" s="7">
        <f>G216/F216*100</f>
        <v>118.26923076923077</v>
      </c>
      <c r="I216" s="8">
        <f>G216/(E216/100000)</f>
        <v>18781.119298944435</v>
      </c>
      <c r="J216" s="1">
        <v>4</v>
      </c>
      <c r="K216" s="9">
        <f>I216/100000</f>
        <v>0.18781119298944435</v>
      </c>
      <c r="L216" s="1">
        <v>0.495</v>
      </c>
      <c r="M216" s="10">
        <v>0.26019999999999999</v>
      </c>
      <c r="N216" s="9">
        <f>0.3328+(0.3351*K216)-(0.3324*L216)+(0.333*M215)</f>
        <v>0.30009523077076283</v>
      </c>
    </row>
    <row r="217" spans="1:14" ht="15.75" x14ac:dyDescent="0.25">
      <c r="A217">
        <v>215</v>
      </c>
      <c r="B217" s="1" t="s">
        <v>226</v>
      </c>
      <c r="C217" s="5" t="s">
        <v>235</v>
      </c>
      <c r="D217" s="1">
        <v>10109</v>
      </c>
      <c r="E217" s="6">
        <v>52942</v>
      </c>
      <c r="F217" s="6">
        <v>10650</v>
      </c>
      <c r="G217" s="6">
        <v>6313</v>
      </c>
      <c r="H217" s="7">
        <f>G217/F217*100</f>
        <v>59.276995305164313</v>
      </c>
      <c r="I217" s="8">
        <f>G217/(E217/100000)</f>
        <v>11924.370065354538</v>
      </c>
      <c r="J217" s="1">
        <v>2</v>
      </c>
      <c r="K217" s="9">
        <f>I217/100000</f>
        <v>0.11924370065354538</v>
      </c>
      <c r="L217" s="1">
        <v>0.72899999999999998</v>
      </c>
      <c r="M217" s="10">
        <v>0.43219999999999997</v>
      </c>
      <c r="N217" s="9">
        <f>0.3328+(0.3351*K217)-(0.3324*L217)+(0.333*M216)</f>
        <v>0.21708556408900309</v>
      </c>
    </row>
    <row r="218" spans="1:14" ht="15.75" x14ac:dyDescent="0.25">
      <c r="A218">
        <v>216</v>
      </c>
      <c r="B218" s="1" t="s">
        <v>226</v>
      </c>
      <c r="C218" s="5" t="s">
        <v>236</v>
      </c>
      <c r="D218" s="1">
        <v>10201</v>
      </c>
      <c r="E218" s="6">
        <v>46997</v>
      </c>
      <c r="F218" s="6">
        <v>8213</v>
      </c>
      <c r="G218" s="6">
        <v>5897</v>
      </c>
      <c r="H218" s="7">
        <f>G218/F218*100</f>
        <v>71.800803604042372</v>
      </c>
      <c r="I218" s="8">
        <f>G218/(E218/100000)</f>
        <v>12547.609421877993</v>
      </c>
      <c r="J218" s="1">
        <v>3</v>
      </c>
      <c r="K218" s="9">
        <f>I218/100000</f>
        <v>0.12547609421877992</v>
      </c>
      <c r="L218" s="1">
        <v>0.61799999999999999</v>
      </c>
      <c r="M218" s="10">
        <v>0.55480000000000007</v>
      </c>
      <c r="N218" s="9">
        <f>0.3328+(0.3351*K218)-(0.3324*L218)+(0.333*M217)</f>
        <v>0.31334643917271315</v>
      </c>
    </row>
    <row r="219" spans="1:14" ht="15.75" x14ac:dyDescent="0.25">
      <c r="A219">
        <v>217</v>
      </c>
      <c r="B219" s="1" t="s">
        <v>226</v>
      </c>
      <c r="C219" s="5" t="s">
        <v>237</v>
      </c>
      <c r="D219" s="1">
        <v>10202</v>
      </c>
      <c r="E219" s="6">
        <v>40949</v>
      </c>
      <c r="F219" s="6">
        <v>6704</v>
      </c>
      <c r="G219" s="6">
        <v>6644</v>
      </c>
      <c r="H219" s="7">
        <f>G219/F219*100</f>
        <v>99.105011933174225</v>
      </c>
      <c r="I219" s="8">
        <f>G219/(E219/100000)</f>
        <v>16225.06044103641</v>
      </c>
      <c r="J219" s="1">
        <v>3</v>
      </c>
      <c r="K219" s="9">
        <f>I219/100000</f>
        <v>0.1622506044103641</v>
      </c>
      <c r="L219" s="1">
        <v>0.58599999999999997</v>
      </c>
      <c r="M219" s="10">
        <v>0.29360000000000003</v>
      </c>
      <c r="N219" s="9">
        <f>0.3328+(0.3351*K219)-(0.3324*L219)+(0.333*M218)</f>
        <v>0.37713217753791306</v>
      </c>
    </row>
    <row r="220" spans="1:14" ht="15.75" x14ac:dyDescent="0.25">
      <c r="A220">
        <v>218</v>
      </c>
      <c r="B220" s="1" t="s">
        <v>226</v>
      </c>
      <c r="C220" s="5" t="s">
        <v>238</v>
      </c>
      <c r="D220" s="1">
        <v>10203</v>
      </c>
      <c r="E220" s="6">
        <v>16078</v>
      </c>
      <c r="F220" s="6">
        <v>2720</v>
      </c>
      <c r="G220" s="6">
        <v>2178</v>
      </c>
      <c r="H220" s="7">
        <f>G220/F220*100</f>
        <v>80.07352941176471</v>
      </c>
      <c r="I220" s="8">
        <f>G220/(E220/100000)</f>
        <v>13546.461002612265</v>
      </c>
      <c r="J220" s="1">
        <v>4</v>
      </c>
      <c r="K220" s="9">
        <f>I220/100000</f>
        <v>0.13546461002612264</v>
      </c>
      <c r="L220" s="1">
        <v>0.57399999999999995</v>
      </c>
      <c r="M220" s="10">
        <v>0.6492</v>
      </c>
      <c r="N220" s="9">
        <f>0.3328+(0.3351*K220)-(0.3324*L220)+(0.333*M219)</f>
        <v>0.28516539081975378</v>
      </c>
    </row>
    <row r="221" spans="1:14" ht="15.75" x14ac:dyDescent="0.25">
      <c r="A221">
        <v>219</v>
      </c>
      <c r="B221" s="1" t="s">
        <v>226</v>
      </c>
      <c r="C221" s="5" t="s">
        <v>239</v>
      </c>
      <c r="D221" s="1">
        <v>10204</v>
      </c>
      <c r="E221" s="6">
        <v>3662</v>
      </c>
      <c r="F221" s="6">
        <v>587</v>
      </c>
      <c r="G221" s="6">
        <v>665</v>
      </c>
      <c r="H221" s="7">
        <f>G221/F221*100</f>
        <v>113.2879045996593</v>
      </c>
      <c r="I221" s="8">
        <f>G221/(E221/100000)</f>
        <v>18159.475696340796</v>
      </c>
      <c r="J221" s="1">
        <v>5</v>
      </c>
      <c r="K221" s="9">
        <f>I221/100000</f>
        <v>0.18159475696340796</v>
      </c>
      <c r="L221" s="1">
        <v>0.60499999999999998</v>
      </c>
      <c r="M221" s="10">
        <v>0.36849999999999999</v>
      </c>
      <c r="N221" s="9">
        <f>0.3328+(0.3351*K221)-(0.3324*L221)+(0.333*M220)</f>
        <v>0.40873400305843804</v>
      </c>
    </row>
    <row r="222" spans="1:14" ht="15.75" x14ac:dyDescent="0.25">
      <c r="A222">
        <v>220</v>
      </c>
      <c r="B222" s="1" t="s">
        <v>226</v>
      </c>
      <c r="C222" s="5" t="s">
        <v>240</v>
      </c>
      <c r="D222" s="1">
        <v>10205</v>
      </c>
      <c r="E222" s="6">
        <v>14894</v>
      </c>
      <c r="F222" s="6">
        <v>2678</v>
      </c>
      <c r="G222" s="6">
        <v>1936</v>
      </c>
      <c r="H222" s="7">
        <f>G222/F222*100</f>
        <v>72.292755787901413</v>
      </c>
      <c r="I222" s="8">
        <f>G222/(E222/100000)</f>
        <v>12998.522895125554</v>
      </c>
      <c r="J222" s="1">
        <v>4</v>
      </c>
      <c r="K222" s="9">
        <f>I222/100000</f>
        <v>0.12998522895125553</v>
      </c>
      <c r="L222" s="1">
        <v>0.54400000000000004</v>
      </c>
      <c r="M222" s="10">
        <v>0.58389999999999997</v>
      </c>
      <c r="N222" s="9">
        <f>0.3328+(0.3351*K222)-(0.3324*L222)+(0.333*M221)</f>
        <v>0.31824295022156568</v>
      </c>
    </row>
    <row r="223" spans="1:14" ht="15.75" x14ac:dyDescent="0.25">
      <c r="A223">
        <v>221</v>
      </c>
      <c r="B223" s="1" t="s">
        <v>226</v>
      </c>
      <c r="C223" s="5" t="s">
        <v>241</v>
      </c>
      <c r="D223" s="1">
        <v>10206</v>
      </c>
      <c r="E223" s="6">
        <v>4048</v>
      </c>
      <c r="F223" s="6">
        <v>623</v>
      </c>
      <c r="G223" s="6">
        <v>739</v>
      </c>
      <c r="H223" s="7">
        <f>G223/F223*100</f>
        <v>118.61958266452648</v>
      </c>
      <c r="I223" s="8">
        <f>G223/(E223/100000)</f>
        <v>18255.92885375494</v>
      </c>
      <c r="J223" s="1">
        <v>5</v>
      </c>
      <c r="K223" s="9">
        <f>I223/100000</f>
        <v>0.18255928853754941</v>
      </c>
      <c r="L223" s="1">
        <v>0.49399999999999999</v>
      </c>
      <c r="M223" s="10">
        <v>0.3528</v>
      </c>
      <c r="N223" s="9">
        <f>0.3328+(0.3351*K223)-(0.3324*L223)+(0.333*M222)</f>
        <v>0.4242087175889328</v>
      </c>
    </row>
    <row r="224" spans="1:14" ht="15.75" x14ac:dyDescent="0.25">
      <c r="A224">
        <v>222</v>
      </c>
      <c r="B224" s="1" t="s">
        <v>226</v>
      </c>
      <c r="C224" s="5" t="s">
        <v>242</v>
      </c>
      <c r="D224" s="1">
        <v>10207</v>
      </c>
      <c r="E224" s="6">
        <v>5690</v>
      </c>
      <c r="F224" s="6">
        <v>943</v>
      </c>
      <c r="G224" s="6">
        <v>895</v>
      </c>
      <c r="H224" s="7">
        <f>G224/F224*100</f>
        <v>94.909862142099684</v>
      </c>
      <c r="I224" s="8">
        <f>G224/(E224/100000)</f>
        <v>15729.349736379614</v>
      </c>
      <c r="J224" s="1">
        <v>5</v>
      </c>
      <c r="K224" s="9">
        <f>I224/100000</f>
        <v>0.15729349736379614</v>
      </c>
      <c r="L224" s="1">
        <v>0.52400000000000002</v>
      </c>
      <c r="M224" s="10">
        <v>0.43930000000000002</v>
      </c>
      <c r="N224" s="9">
        <f>0.3328+(0.3351*K224)-(0.3324*L224)+(0.333*M223)</f>
        <v>0.32881385096660809</v>
      </c>
    </row>
    <row r="225" spans="1:14" ht="15.75" x14ac:dyDescent="0.25">
      <c r="A225">
        <v>223</v>
      </c>
      <c r="B225" s="1" t="s">
        <v>226</v>
      </c>
      <c r="C225" s="5" t="s">
        <v>243</v>
      </c>
      <c r="D225" s="1">
        <v>10208</v>
      </c>
      <c r="E225" s="6">
        <v>28460</v>
      </c>
      <c r="F225" s="6">
        <v>5637</v>
      </c>
      <c r="G225" s="6">
        <v>2642</v>
      </c>
      <c r="H225" s="7">
        <f>G225/F225*100</f>
        <v>46.868901898172787</v>
      </c>
      <c r="I225" s="8">
        <f>G225/(E225/100000)</f>
        <v>9283.2044975404078</v>
      </c>
      <c r="J225" s="1">
        <v>4</v>
      </c>
      <c r="K225" s="9">
        <f>I225/100000</f>
        <v>9.2832044975404079E-2</v>
      </c>
      <c r="L225" s="1">
        <v>0.54400000000000004</v>
      </c>
      <c r="M225" s="10">
        <v>0.32069999999999999</v>
      </c>
      <c r="N225" s="9">
        <f>0.3328+(0.3351*K225)-(0.3324*L225)+(0.333*M224)</f>
        <v>0.32936931827125793</v>
      </c>
    </row>
    <row r="226" spans="1:14" ht="15.75" x14ac:dyDescent="0.25">
      <c r="A226">
        <v>224</v>
      </c>
      <c r="B226" s="1" t="s">
        <v>226</v>
      </c>
      <c r="C226" s="5" t="s">
        <v>244</v>
      </c>
      <c r="D226" s="1">
        <v>10209</v>
      </c>
      <c r="E226" s="6">
        <v>8409</v>
      </c>
      <c r="F226" s="6">
        <v>1235</v>
      </c>
      <c r="G226" s="6">
        <v>1529</v>
      </c>
      <c r="H226" s="7">
        <f>G226/F226*100</f>
        <v>123.80566801619433</v>
      </c>
      <c r="I226" s="8">
        <f>G226/(E226/100000)</f>
        <v>18182.899274586754</v>
      </c>
      <c r="J226" s="1">
        <v>5</v>
      </c>
      <c r="K226" s="9">
        <f>I226/100000</f>
        <v>0.18182899274586756</v>
      </c>
      <c r="L226" s="1">
        <v>0.48</v>
      </c>
      <c r="M226" s="10">
        <v>0.62960000000000005</v>
      </c>
      <c r="N226" s="9">
        <f>0.3328+(0.3351*K226)-(0.3324*L226)+(0.333*M225)</f>
        <v>0.34097199546914025</v>
      </c>
    </row>
    <row r="227" spans="1:14" ht="15.75" x14ac:dyDescent="0.25">
      <c r="A227">
        <v>225</v>
      </c>
      <c r="B227" s="1" t="s">
        <v>226</v>
      </c>
      <c r="C227" s="5" t="s">
        <v>245</v>
      </c>
      <c r="D227" s="1">
        <v>10210</v>
      </c>
      <c r="E227" s="6">
        <v>7678</v>
      </c>
      <c r="F227" s="6">
        <v>1139</v>
      </c>
      <c r="G227" s="6">
        <v>1399</v>
      </c>
      <c r="H227" s="7">
        <f>G227/F227*100</f>
        <v>122.82704126426691</v>
      </c>
      <c r="I227" s="8">
        <f>G227/(E227/100000)</f>
        <v>18220.89085699401</v>
      </c>
      <c r="J227" s="1">
        <v>4</v>
      </c>
      <c r="K227" s="9">
        <f>I227/100000</f>
        <v>0.1822089085699401</v>
      </c>
      <c r="L227" s="1">
        <v>0.56899999999999995</v>
      </c>
      <c r="M227" s="10">
        <v>0.31090000000000001</v>
      </c>
      <c r="N227" s="9">
        <f>0.3328+(0.3351*K227)-(0.3324*L227)+(0.333*M226)</f>
        <v>0.41437940526178701</v>
      </c>
    </row>
    <row r="228" spans="1:14" ht="15.75" x14ac:dyDescent="0.25">
      <c r="A228">
        <v>226</v>
      </c>
      <c r="B228" s="1" t="s">
        <v>226</v>
      </c>
      <c r="C228" s="5" t="s">
        <v>246</v>
      </c>
      <c r="D228" s="1">
        <v>10301</v>
      </c>
      <c r="E228" s="6">
        <v>166455</v>
      </c>
      <c r="F228" s="6">
        <v>28432</v>
      </c>
      <c r="G228" s="6">
        <v>24124</v>
      </c>
      <c r="H228" s="7">
        <f>G228/F228*100</f>
        <v>84.848058525604955</v>
      </c>
      <c r="I228" s="8">
        <f>G228/(E228/100000)</f>
        <v>14492.805863446578</v>
      </c>
      <c r="J228" s="1">
        <v>2</v>
      </c>
      <c r="K228" s="9">
        <f>I228/100000</f>
        <v>0.14492805863446578</v>
      </c>
      <c r="L228" s="1">
        <v>0.63500000000000001</v>
      </c>
      <c r="M228" s="10">
        <v>9.9299999999999999E-2</v>
      </c>
      <c r="N228" s="9">
        <f>0.3328+(0.3351*K228)-(0.3324*L228)+(0.333*M227)</f>
        <v>0.27382109244840946</v>
      </c>
    </row>
    <row r="229" spans="1:14" ht="15.75" x14ac:dyDescent="0.25">
      <c r="A229">
        <v>227</v>
      </c>
      <c r="B229" s="1" t="s">
        <v>226</v>
      </c>
      <c r="C229" s="5" t="s">
        <v>247</v>
      </c>
      <c r="D229" s="1">
        <v>10302</v>
      </c>
      <c r="E229" s="6">
        <v>8865</v>
      </c>
      <c r="F229" s="6">
        <v>1480</v>
      </c>
      <c r="G229" s="6">
        <v>1481</v>
      </c>
      <c r="H229" s="7">
        <f>G229/F229*100</f>
        <v>100.06756756756756</v>
      </c>
      <c r="I229" s="8">
        <f>G229/(E229/100000)</f>
        <v>16706.147772137618</v>
      </c>
      <c r="J229" s="1">
        <v>4</v>
      </c>
      <c r="K229" s="9">
        <f>I229/100000</f>
        <v>0.16706147772137617</v>
      </c>
      <c r="L229" s="13">
        <v>0.51200000000000001</v>
      </c>
      <c r="M229" s="10">
        <v>0.33560000000000001</v>
      </c>
      <c r="N229" s="9">
        <f>0.3328+(0.3351*K229)-(0.3324*L229)+(0.333*M228)</f>
        <v>0.25166040118443311</v>
      </c>
    </row>
    <row r="230" spans="1:14" ht="15.75" x14ac:dyDescent="0.25">
      <c r="A230">
        <v>228</v>
      </c>
      <c r="B230" s="1" t="s">
        <v>226</v>
      </c>
      <c r="C230" s="5" t="s">
        <v>248</v>
      </c>
      <c r="D230" s="1">
        <v>10303</v>
      </c>
      <c r="E230" s="6">
        <v>19542</v>
      </c>
      <c r="F230" s="6">
        <v>3294</v>
      </c>
      <c r="G230" s="6">
        <v>3527</v>
      </c>
      <c r="H230" s="7">
        <f>G230/F230*100</f>
        <v>107.07346690953247</v>
      </c>
      <c r="I230" s="8">
        <f>G230/(E230/100000)</f>
        <v>18048.30621226077</v>
      </c>
      <c r="J230" s="1">
        <v>4</v>
      </c>
      <c r="K230" s="9">
        <f>I230/100000</f>
        <v>0.1804830621226077</v>
      </c>
      <c r="L230" s="1">
        <v>0.54400000000000004</v>
      </c>
      <c r="M230" s="10">
        <v>0.1855</v>
      </c>
      <c r="N230" s="9">
        <f>0.3328+(0.3351*K230)-(0.3324*L230)+(0.333*M229)</f>
        <v>0.32420907411728583</v>
      </c>
    </row>
    <row r="231" spans="1:14" ht="15.75" x14ac:dyDescent="0.25">
      <c r="A231">
        <v>229</v>
      </c>
      <c r="B231" s="1" t="s">
        <v>226</v>
      </c>
      <c r="C231" s="5" t="s">
        <v>249</v>
      </c>
      <c r="D231" s="1">
        <v>10304</v>
      </c>
      <c r="E231" s="6">
        <v>11712</v>
      </c>
      <c r="F231" s="6">
        <v>2013</v>
      </c>
      <c r="G231" s="6">
        <v>1954</v>
      </c>
      <c r="H231" s="7">
        <f>G231/F231*100</f>
        <v>97.069051167411828</v>
      </c>
      <c r="I231" s="8">
        <f>G231/(E231/100000)</f>
        <v>16683.743169398906</v>
      </c>
      <c r="J231" s="1">
        <v>4</v>
      </c>
      <c r="K231" s="9">
        <f>I231/100000</f>
        <v>0.16683743169398907</v>
      </c>
      <c r="L231" s="1">
        <v>0.53900000000000003</v>
      </c>
      <c r="M231" s="10">
        <v>0.127</v>
      </c>
      <c r="N231" s="9">
        <f>0.3328+(0.3351*K231)-(0.3324*L231)+(0.333*M230)</f>
        <v>0.27131512336065572</v>
      </c>
    </row>
    <row r="232" spans="1:14" ht="15.75" x14ac:dyDescent="0.25">
      <c r="A232">
        <v>230</v>
      </c>
      <c r="B232" s="1" t="s">
        <v>226</v>
      </c>
      <c r="C232" s="5" t="s">
        <v>250</v>
      </c>
      <c r="D232" s="1">
        <v>10305</v>
      </c>
      <c r="E232" s="6">
        <v>13874</v>
      </c>
      <c r="F232" s="6">
        <v>2278</v>
      </c>
      <c r="G232" s="6">
        <v>2576</v>
      </c>
      <c r="H232" s="7">
        <f>G232/F232*100</f>
        <v>113.08165057067603</v>
      </c>
      <c r="I232" s="8">
        <f>G232/(E232/100000)</f>
        <v>18567.103935418767</v>
      </c>
      <c r="J232" s="1">
        <v>4</v>
      </c>
      <c r="K232" s="9">
        <f>I232/100000</f>
        <v>0.18567103935418766</v>
      </c>
      <c r="L232" s="1">
        <v>0.56100000000000005</v>
      </c>
      <c r="M232" s="10">
        <v>0.64450000000000007</v>
      </c>
      <c r="N232" s="9">
        <f>0.3328+(0.3351*K232)-(0.3324*L232)+(0.333*M231)</f>
        <v>0.25083296528758825</v>
      </c>
    </row>
    <row r="233" spans="1:14" ht="15.75" x14ac:dyDescent="0.25">
      <c r="A233">
        <v>231</v>
      </c>
      <c r="B233" s="1" t="s">
        <v>226</v>
      </c>
      <c r="C233" s="5" t="s">
        <v>251</v>
      </c>
      <c r="D233" s="1">
        <v>10306</v>
      </c>
      <c r="E233" s="6">
        <v>7776</v>
      </c>
      <c r="F233" s="6">
        <v>1065</v>
      </c>
      <c r="G233" s="6">
        <v>1684</v>
      </c>
      <c r="H233" s="7">
        <f>G233/F233*100</f>
        <v>158.12206572769952</v>
      </c>
      <c r="I233" s="8">
        <f>G233/(E233/100000)</f>
        <v>21656.378600823045</v>
      </c>
      <c r="J233" s="1">
        <v>5</v>
      </c>
      <c r="K233" s="9">
        <f>I233/100000</f>
        <v>0.21656378600823045</v>
      </c>
      <c r="L233" s="1">
        <v>0.30199999999999999</v>
      </c>
      <c r="M233" s="10">
        <v>0.2233</v>
      </c>
      <c r="N233" s="9">
        <f>0.3328+(0.3351*K233)-(0.3324*L233)+(0.333*M232)</f>
        <v>0.51960422469135814</v>
      </c>
    </row>
    <row r="234" spans="1:14" ht="15.75" x14ac:dyDescent="0.25">
      <c r="A234">
        <v>232</v>
      </c>
      <c r="B234" s="1" t="s">
        <v>226</v>
      </c>
      <c r="C234" s="5" t="s">
        <v>252</v>
      </c>
      <c r="D234" s="1">
        <v>10307</v>
      </c>
      <c r="E234" s="6">
        <v>10883</v>
      </c>
      <c r="F234" s="6">
        <v>1804</v>
      </c>
      <c r="G234" s="6">
        <v>2052</v>
      </c>
      <c r="H234" s="7">
        <f>G234/F234*100</f>
        <v>113.74722838137473</v>
      </c>
      <c r="I234" s="8">
        <f>G234/(E234/100000)</f>
        <v>18855.095102453368</v>
      </c>
      <c r="J234" s="1">
        <v>4</v>
      </c>
      <c r="K234" s="9">
        <f>I234/100000</f>
        <v>0.18855095102453368</v>
      </c>
      <c r="L234" s="1">
        <v>0.56799999999999995</v>
      </c>
      <c r="M234" s="10">
        <v>0.43659999999999999</v>
      </c>
      <c r="N234" s="9">
        <f>0.3328+(0.3351*K234)-(0.3324*L234)+(0.333*M233)</f>
        <v>0.28153912368832124</v>
      </c>
    </row>
    <row r="235" spans="1:14" ht="15.75" x14ac:dyDescent="0.25">
      <c r="A235">
        <v>233</v>
      </c>
      <c r="B235" s="1" t="s">
        <v>226</v>
      </c>
      <c r="C235" s="5" t="s">
        <v>253</v>
      </c>
      <c r="D235" s="1">
        <v>10401</v>
      </c>
      <c r="E235" s="6">
        <v>4025</v>
      </c>
      <c r="F235" s="6">
        <v>684</v>
      </c>
      <c r="G235" s="6">
        <v>623</v>
      </c>
      <c r="H235" s="7">
        <f>G235/F235*100</f>
        <v>91.081871345029242</v>
      </c>
      <c r="I235" s="8">
        <f>G235/(E235/100000)</f>
        <v>15478.260869565216</v>
      </c>
      <c r="J235" s="1">
        <v>4</v>
      </c>
      <c r="K235" s="9">
        <f>I235/100000</f>
        <v>0.15478260869565216</v>
      </c>
      <c r="L235" s="1">
        <v>0.60199999999999998</v>
      </c>
      <c r="M235" s="10">
        <v>0.58240000000000003</v>
      </c>
      <c r="N235" s="9">
        <f>0.3328+(0.3351*K235)-(0.3324*L235)+(0.333*M234)</f>
        <v>0.32995065217391306</v>
      </c>
    </row>
    <row r="236" spans="1:14" ht="15.75" x14ac:dyDescent="0.25">
      <c r="A236">
        <v>234</v>
      </c>
      <c r="B236" s="1" t="s">
        <v>226</v>
      </c>
      <c r="C236" s="5" t="s">
        <v>254</v>
      </c>
      <c r="D236" s="1">
        <v>10402</v>
      </c>
      <c r="E236" s="6">
        <v>3062</v>
      </c>
      <c r="F236" s="6">
        <v>579</v>
      </c>
      <c r="G236" s="6">
        <v>410</v>
      </c>
      <c r="H236" s="7">
        <f>G236/F236*100</f>
        <v>70.811744386873926</v>
      </c>
      <c r="I236" s="8">
        <f>G236/(E236/100000)</f>
        <v>13389.941214892227</v>
      </c>
      <c r="J236" s="1">
        <v>4</v>
      </c>
      <c r="K236" s="9">
        <f>I236/100000</f>
        <v>0.13389941214892229</v>
      </c>
      <c r="L236" s="1">
        <v>0.56499999999999995</v>
      </c>
      <c r="M236" s="10">
        <v>0.2329</v>
      </c>
      <c r="N236" s="9">
        <f>0.3328+(0.3351*K236)-(0.3324*L236)+(0.333*M235)</f>
        <v>0.38380289301110393</v>
      </c>
    </row>
    <row r="237" spans="1:14" ht="15.75" x14ac:dyDescent="0.25">
      <c r="A237">
        <v>235</v>
      </c>
      <c r="B237" s="1" t="s">
        <v>226</v>
      </c>
      <c r="C237" s="5" t="s">
        <v>255</v>
      </c>
      <c r="D237" s="1">
        <v>10403</v>
      </c>
      <c r="E237" s="6">
        <v>9480</v>
      </c>
      <c r="F237" s="6">
        <v>1698</v>
      </c>
      <c r="G237" s="6">
        <v>1299</v>
      </c>
      <c r="H237" s="7">
        <f>G237/F237*100</f>
        <v>76.5017667844523</v>
      </c>
      <c r="I237" s="8">
        <f>G237/(E237/100000)</f>
        <v>13702.531645569621</v>
      </c>
      <c r="J237" s="1">
        <v>4</v>
      </c>
      <c r="K237" s="9">
        <f>I237/100000</f>
        <v>0.13702531645569621</v>
      </c>
      <c r="L237" s="1">
        <v>0.56100000000000005</v>
      </c>
      <c r="M237" s="10">
        <v>0.52170000000000005</v>
      </c>
      <c r="N237" s="9">
        <f>0.3328+(0.3351*K237)-(0.3324*L237)+(0.333*M236)</f>
        <v>0.26979648354430374</v>
      </c>
    </row>
    <row r="238" spans="1:14" ht="15.75" x14ac:dyDescent="0.25">
      <c r="A238">
        <v>236</v>
      </c>
      <c r="B238" s="1" t="s">
        <v>226</v>
      </c>
      <c r="C238" s="5" t="s">
        <v>256</v>
      </c>
      <c r="D238" s="1">
        <v>10404</v>
      </c>
      <c r="E238" s="6">
        <v>1903</v>
      </c>
      <c r="F238" s="6">
        <v>295</v>
      </c>
      <c r="G238" s="6">
        <v>360</v>
      </c>
      <c r="H238" s="7">
        <f>G238/F238*100</f>
        <v>122.03389830508475</v>
      </c>
      <c r="I238" s="8">
        <f>G238/(E238/100000)</f>
        <v>18917.498686284816</v>
      </c>
      <c r="J238" s="1">
        <v>4</v>
      </c>
      <c r="K238" s="9">
        <f>I238/100000</f>
        <v>0.18917498686284817</v>
      </c>
      <c r="L238" s="1">
        <v>0.61599999999999999</v>
      </c>
      <c r="M238" s="10">
        <v>0.63280000000000003</v>
      </c>
      <c r="N238" s="9">
        <f>0.3328+(0.3351*K238)-(0.3324*L238)+(0.333*M237)</f>
        <v>0.36516023809774045</v>
      </c>
    </row>
    <row r="239" spans="1:14" ht="15.75" x14ac:dyDescent="0.25">
      <c r="A239">
        <v>237</v>
      </c>
      <c r="B239" s="1" t="s">
        <v>257</v>
      </c>
      <c r="C239" s="5" t="s">
        <v>258</v>
      </c>
      <c r="D239" s="1">
        <v>11101</v>
      </c>
      <c r="E239" s="6">
        <v>57823</v>
      </c>
      <c r="F239" s="6">
        <v>11220</v>
      </c>
      <c r="G239" s="6">
        <v>7192</v>
      </c>
      <c r="H239" s="7">
        <f>G239/F239*100</f>
        <v>64.099821746880565</v>
      </c>
      <c r="I239" s="8">
        <f>G239/(E239/100000)</f>
        <v>12437.957214257302</v>
      </c>
      <c r="J239" s="1">
        <v>2</v>
      </c>
      <c r="K239" s="9">
        <f>I239/100000</f>
        <v>0.12437957214257302</v>
      </c>
      <c r="L239" s="1">
        <v>0.7</v>
      </c>
      <c r="M239" s="10">
        <v>0.17499999999999999</v>
      </c>
      <c r="N239" s="9">
        <f>0.3328+(0.3351*K239)-(0.3324*L239)+(0.333*M238)</f>
        <v>0.35252199462497624</v>
      </c>
    </row>
    <row r="240" spans="1:14" ht="15.75" x14ac:dyDescent="0.25">
      <c r="A240">
        <v>238</v>
      </c>
      <c r="B240" s="1" t="s">
        <v>257</v>
      </c>
      <c r="C240" s="5" t="s">
        <v>259</v>
      </c>
      <c r="D240" s="1">
        <v>11102</v>
      </c>
      <c r="E240" s="6">
        <v>779</v>
      </c>
      <c r="F240" s="6">
        <v>87</v>
      </c>
      <c r="G240" s="6">
        <v>159</v>
      </c>
      <c r="H240" s="7">
        <f>G240/F240*100</f>
        <v>182.75862068965517</v>
      </c>
      <c r="I240" s="8">
        <f>G240/(E240/100000)</f>
        <v>20410.783055198972</v>
      </c>
      <c r="J240" s="1">
        <v>5</v>
      </c>
      <c r="K240" s="9">
        <f>I240/100000</f>
        <v>0.20410783055198972</v>
      </c>
      <c r="L240" s="1">
        <v>0.63200000000000001</v>
      </c>
      <c r="M240" s="10">
        <v>0.36380000000000001</v>
      </c>
      <c r="N240" s="9">
        <f>0.3328+(0.3351*K240)-(0.3324*L240)+(0.333*M239)</f>
        <v>0.24939473401797174</v>
      </c>
    </row>
    <row r="241" spans="1:14" ht="15.75" x14ac:dyDescent="0.25">
      <c r="A241">
        <v>239</v>
      </c>
      <c r="B241" s="1" t="s">
        <v>257</v>
      </c>
      <c r="C241" s="5" t="s">
        <v>260</v>
      </c>
      <c r="D241" s="1">
        <v>11201</v>
      </c>
      <c r="E241" s="6">
        <v>23170</v>
      </c>
      <c r="F241" s="6">
        <v>4459</v>
      </c>
      <c r="G241" s="6">
        <v>2746</v>
      </c>
      <c r="H241" s="7">
        <f>G241/F241*100</f>
        <v>61.583314644539136</v>
      </c>
      <c r="I241" s="8">
        <f>G241/(E241/100000)</f>
        <v>11851.532153646958</v>
      </c>
      <c r="J241" s="1">
        <v>4</v>
      </c>
      <c r="K241" s="9">
        <f>I241/100000</f>
        <v>0.11851532153646958</v>
      </c>
      <c r="L241" s="1">
        <v>0.65800000000000003</v>
      </c>
      <c r="M241" s="10">
        <v>0.18190000000000001</v>
      </c>
      <c r="N241" s="9">
        <f>0.3328+(0.3351*K241)-(0.3324*L241)+(0.333*M240)</f>
        <v>0.27494068424687096</v>
      </c>
    </row>
    <row r="242" spans="1:14" ht="15.75" x14ac:dyDescent="0.25">
      <c r="A242">
        <v>240</v>
      </c>
      <c r="B242" s="1" t="s">
        <v>257</v>
      </c>
      <c r="C242" s="5" t="s">
        <v>261</v>
      </c>
      <c r="D242" s="1">
        <v>11202</v>
      </c>
      <c r="E242" s="6">
        <v>5137</v>
      </c>
      <c r="F242" s="6">
        <v>949</v>
      </c>
      <c r="G242" s="6">
        <v>608</v>
      </c>
      <c r="H242" s="7">
        <f>G242/F242*100</f>
        <v>64.067439409905163</v>
      </c>
      <c r="I242" s="8">
        <f>G242/(E242/100000)</f>
        <v>11835.701771461943</v>
      </c>
      <c r="J242" s="1">
        <v>4</v>
      </c>
      <c r="K242" s="9">
        <f>I242/100000</f>
        <v>0.11835701771461943</v>
      </c>
      <c r="L242" s="1">
        <v>0.64400000000000002</v>
      </c>
      <c r="M242" s="10">
        <v>0.56630000000000003</v>
      </c>
      <c r="N242" s="9">
        <f>0.3328+(0.3351*K242)-(0.3324*L242)+(0.333*M241)</f>
        <v>0.21896853663616894</v>
      </c>
    </row>
    <row r="243" spans="1:14" ht="15.75" x14ac:dyDescent="0.25">
      <c r="A243">
        <v>241</v>
      </c>
      <c r="B243" s="1" t="s">
        <v>257</v>
      </c>
      <c r="C243" s="5" t="s">
        <v>262</v>
      </c>
      <c r="D243" s="1">
        <v>11203</v>
      </c>
      <c r="E243" s="6">
        <v>1598</v>
      </c>
      <c r="F243" s="6">
        <v>283</v>
      </c>
      <c r="G243" s="6">
        <v>160</v>
      </c>
      <c r="H243" s="7">
        <f>G243/F243*100</f>
        <v>56.537102473498237</v>
      </c>
      <c r="I243" s="8">
        <f>G243/(E243/100000)</f>
        <v>10012.515644555693</v>
      </c>
      <c r="J243" s="1">
        <v>5</v>
      </c>
      <c r="K243" s="9">
        <f>I243/100000</f>
        <v>0.10012515644555693</v>
      </c>
      <c r="L243" s="1">
        <v>0.52700000000000002</v>
      </c>
      <c r="M243" s="10">
        <v>0.50460000000000005</v>
      </c>
      <c r="N243" s="9">
        <f>0.3328+(0.3351*K243)-(0.3324*L243)+(0.333*M242)</f>
        <v>0.37975503992490611</v>
      </c>
    </row>
    <row r="244" spans="1:14" ht="15.75" x14ac:dyDescent="0.25">
      <c r="A244">
        <v>242</v>
      </c>
      <c r="B244" s="1" t="s">
        <v>257</v>
      </c>
      <c r="C244" s="5" t="s">
        <v>263</v>
      </c>
      <c r="D244" s="1">
        <v>11301</v>
      </c>
      <c r="E244" s="6">
        <v>3458</v>
      </c>
      <c r="F244" s="6">
        <v>680</v>
      </c>
      <c r="G244" s="6">
        <v>442</v>
      </c>
      <c r="H244" s="7">
        <f>G244/F244*100</f>
        <v>65</v>
      </c>
      <c r="I244" s="8">
        <f>G244/(E244/100000)</f>
        <v>12781.954887218046</v>
      </c>
      <c r="J244" s="1">
        <v>4</v>
      </c>
      <c r="K244" s="9">
        <f>I244/100000</f>
        <v>0.12781954887218044</v>
      </c>
      <c r="L244" s="1">
        <v>0.65700000000000003</v>
      </c>
      <c r="M244" s="10">
        <v>0.77050000000000007</v>
      </c>
      <c r="N244" s="9">
        <f>0.3328+(0.3351*K244)-(0.3324*L244)+(0.333*M243)</f>
        <v>0.32527733082706767</v>
      </c>
    </row>
    <row r="245" spans="1:14" ht="15.75" x14ac:dyDescent="0.25">
      <c r="A245">
        <v>243</v>
      </c>
      <c r="B245" s="1" t="s">
        <v>257</v>
      </c>
      <c r="C245" s="5" t="s">
        <v>264</v>
      </c>
      <c r="D245" s="1">
        <v>11302</v>
      </c>
      <c r="E245" s="6">
        <v>647</v>
      </c>
      <c r="F245" s="6">
        <v>132</v>
      </c>
      <c r="G245" s="6">
        <v>55</v>
      </c>
      <c r="H245" s="7">
        <f>G245/F245*100</f>
        <v>41.666666666666671</v>
      </c>
      <c r="I245" s="8">
        <f>G245/(E245/100000)</f>
        <v>8500.7727975270482</v>
      </c>
      <c r="J245" s="1">
        <v>5</v>
      </c>
      <c r="K245" s="9">
        <f>I245/100000</f>
        <v>8.5007727975270481E-2</v>
      </c>
      <c r="L245" s="1">
        <v>0.66400000000000003</v>
      </c>
      <c r="M245" s="10">
        <v>0.52860000000000007</v>
      </c>
      <c r="N245" s="9">
        <f>0.3328+(0.3351*K245)-(0.3324*L245)+(0.333*M244)</f>
        <v>0.39714898964451317</v>
      </c>
    </row>
    <row r="246" spans="1:14" ht="15.75" x14ac:dyDescent="0.25">
      <c r="A246">
        <v>244</v>
      </c>
      <c r="B246" s="1" t="s">
        <v>257</v>
      </c>
      <c r="C246" s="5" t="s">
        <v>265</v>
      </c>
      <c r="D246" s="1">
        <v>11303</v>
      </c>
      <c r="E246" s="6">
        <v>505</v>
      </c>
      <c r="F246" s="6">
        <v>107</v>
      </c>
      <c r="G246" s="6">
        <v>33</v>
      </c>
      <c r="H246" s="7">
        <f>G246/F246*100</f>
        <v>30.841121495327101</v>
      </c>
      <c r="I246" s="8">
        <f>G246/(E246/100000)</f>
        <v>6534.6534653465351</v>
      </c>
      <c r="J246" s="1">
        <v>5</v>
      </c>
      <c r="K246" s="9">
        <f>I246/100000</f>
        <v>6.5346534653465349E-2</v>
      </c>
      <c r="L246" s="1">
        <v>0.58099999999999996</v>
      </c>
      <c r="M246" s="10">
        <v>0.61340000000000006</v>
      </c>
      <c r="N246" s="9">
        <f>0.3328+(0.3351*K246)-(0.3324*L246)+(0.333*M245)</f>
        <v>0.33759702376237632</v>
      </c>
    </row>
    <row r="247" spans="1:14" ht="15.75" x14ac:dyDescent="0.25">
      <c r="A247">
        <v>245</v>
      </c>
      <c r="B247" s="1" t="s">
        <v>257</v>
      </c>
      <c r="C247" s="5" t="s">
        <v>266</v>
      </c>
      <c r="D247" s="1">
        <v>11401</v>
      </c>
      <c r="E247" s="6">
        <v>4905</v>
      </c>
      <c r="F247" s="6">
        <v>862</v>
      </c>
      <c r="G247" s="6">
        <v>801</v>
      </c>
      <c r="H247" s="7">
        <f>G247/F247*100</f>
        <v>92.923433874709986</v>
      </c>
      <c r="I247" s="8">
        <f>G247/(E247/100000)</f>
        <v>16330.275229357798</v>
      </c>
      <c r="J247" s="1">
        <v>4</v>
      </c>
      <c r="K247" s="9">
        <f>I247/100000</f>
        <v>0.16330275229357799</v>
      </c>
      <c r="L247" s="1">
        <v>0.6</v>
      </c>
      <c r="M247" s="10">
        <v>0.38229999999999997</v>
      </c>
      <c r="N247" s="9">
        <f>0.3328+(0.3351*K247)-(0.3324*L247)+(0.333*M246)</f>
        <v>0.39234495229357802</v>
      </c>
    </row>
    <row r="248" spans="1:14" ht="15.75" x14ac:dyDescent="0.25">
      <c r="A248">
        <v>246</v>
      </c>
      <c r="B248" s="1" t="s">
        <v>257</v>
      </c>
      <c r="C248" s="5" t="s">
        <v>267</v>
      </c>
      <c r="D248" s="1">
        <v>11402</v>
      </c>
      <c r="E248" s="6">
        <v>2723</v>
      </c>
      <c r="F248" s="6">
        <v>420</v>
      </c>
      <c r="G248" s="6">
        <v>509</v>
      </c>
      <c r="H248" s="7">
        <f>G248/F248*100</f>
        <v>121.19047619047618</v>
      </c>
      <c r="I248" s="8">
        <f>G248/(E248/100000)</f>
        <v>18692.618435549026</v>
      </c>
      <c r="J248" s="1">
        <v>4</v>
      </c>
      <c r="K248" s="9">
        <f>I248/100000</f>
        <v>0.18692618435549027</v>
      </c>
      <c r="L248" s="1">
        <v>0.53600000000000003</v>
      </c>
      <c r="M248" s="10">
        <v>0.6109</v>
      </c>
      <c r="N248" s="9">
        <f>0.3328+(0.3351*K248)-(0.3324*L248)+(0.333*M247)</f>
        <v>0.34457846437752482</v>
      </c>
    </row>
    <row r="249" spans="1:14" ht="15.75" x14ac:dyDescent="0.25">
      <c r="A249">
        <v>247</v>
      </c>
      <c r="B249" s="4" t="s">
        <v>268</v>
      </c>
      <c r="C249" s="5" t="s">
        <v>269</v>
      </c>
      <c r="D249" s="1">
        <v>12101</v>
      </c>
      <c r="E249" s="6">
        <v>132363</v>
      </c>
      <c r="F249" s="6">
        <v>21733</v>
      </c>
      <c r="G249" s="6">
        <v>19673</v>
      </c>
      <c r="H249" s="7">
        <f>G249/F249*100</f>
        <v>90.521327014218016</v>
      </c>
      <c r="I249" s="8">
        <f>G249/(E249/100000)</f>
        <v>14862.914862914862</v>
      </c>
      <c r="J249" s="1">
        <v>2</v>
      </c>
      <c r="K249" s="9">
        <f>I249/100000</f>
        <v>0.14862914862914861</v>
      </c>
      <c r="L249" s="1">
        <v>0.71099999999999997</v>
      </c>
      <c r="M249" s="10">
        <v>0.47249999999999998</v>
      </c>
      <c r="N249" s="9">
        <f>0.3328+(0.3351*K249)-(0.3324*L249)+(0.333*M248)</f>
        <v>0.34969892770562772</v>
      </c>
    </row>
    <row r="250" spans="1:14" ht="15.75" x14ac:dyDescent="0.25">
      <c r="A250">
        <v>248</v>
      </c>
      <c r="B250" s="4" t="s">
        <v>268</v>
      </c>
      <c r="C250" s="5" t="s">
        <v>270</v>
      </c>
      <c r="D250" s="1">
        <v>12102</v>
      </c>
      <c r="E250" s="6">
        <v>269</v>
      </c>
      <c r="F250" s="6">
        <v>21</v>
      </c>
      <c r="G250" s="6">
        <v>30</v>
      </c>
      <c r="H250" s="7">
        <f>G250/F250*100</f>
        <v>142.85714285714286</v>
      </c>
      <c r="I250" s="8">
        <f>G250/(E250/100000)</f>
        <v>11152.416356877324</v>
      </c>
      <c r="J250" s="1">
        <v>5</v>
      </c>
      <c r="K250" s="9">
        <f>I250/100000</f>
        <v>0.11152416356877323</v>
      </c>
      <c r="L250" s="1">
        <v>0.73299999999999998</v>
      </c>
      <c r="M250" s="10">
        <v>0.60820000000000007</v>
      </c>
      <c r="N250" s="9">
        <f>0.3328+(0.3351*K250)-(0.3324*L250)+(0.333*M249)</f>
        <v>0.28386504721189587</v>
      </c>
    </row>
    <row r="251" spans="1:14" ht="15.75" hidden="1" x14ac:dyDescent="0.25">
      <c r="A251">
        <v>249</v>
      </c>
      <c r="B251" s="4" t="s">
        <v>268</v>
      </c>
      <c r="C251" s="5" t="s">
        <v>271</v>
      </c>
      <c r="D251" s="1">
        <v>12103</v>
      </c>
      <c r="E251" s="6">
        <v>102</v>
      </c>
      <c r="F251" s="6">
        <v>6</v>
      </c>
      <c r="G251" s="6">
        <v>17</v>
      </c>
      <c r="H251" s="7">
        <f>G251/F251*100</f>
        <v>283.33333333333337</v>
      </c>
      <c r="I251" s="8">
        <f>G251/(E251/100000)</f>
        <v>16666.666666666664</v>
      </c>
      <c r="J251" s="1">
        <v>5</v>
      </c>
      <c r="K251" s="9">
        <f>I251/100000</f>
        <v>0.16666666666666663</v>
      </c>
      <c r="L251" s="1"/>
      <c r="M251" s="10">
        <v>0.59000000000000008</v>
      </c>
      <c r="N251" s="1"/>
    </row>
    <row r="252" spans="1:14" ht="15.75" x14ac:dyDescent="0.25">
      <c r="A252">
        <v>250</v>
      </c>
      <c r="B252" s="4" t="s">
        <v>268</v>
      </c>
      <c r="C252" s="5" t="s">
        <v>272</v>
      </c>
      <c r="D252" s="1">
        <v>12104</v>
      </c>
      <c r="E252" s="6">
        <v>241</v>
      </c>
      <c r="F252" s="6">
        <v>33</v>
      </c>
      <c r="G252" s="6">
        <v>37</v>
      </c>
      <c r="H252" s="7">
        <f>G252/F252*100</f>
        <v>112.12121212121211</v>
      </c>
      <c r="I252" s="8">
        <f>G252/(E252/100000)</f>
        <v>15352.697095435686</v>
      </c>
      <c r="J252" s="1">
        <v>4</v>
      </c>
      <c r="K252" s="9">
        <f>I252/100000</f>
        <v>0.15352697095435686</v>
      </c>
      <c r="L252" s="1">
        <v>0.63700000000000001</v>
      </c>
      <c r="M252" s="10">
        <v>0.4824</v>
      </c>
      <c r="N252" s="9">
        <f>0.3328+(0.3351*K252)-(0.3324*L252)+(0.333*M251)</f>
        <v>0.36897808796680498</v>
      </c>
    </row>
    <row r="253" spans="1:14" ht="15.75" x14ac:dyDescent="0.25">
      <c r="A253">
        <v>251</v>
      </c>
      <c r="B253" s="4" t="s">
        <v>268</v>
      </c>
      <c r="C253" s="5" t="s">
        <v>273</v>
      </c>
      <c r="D253" s="1">
        <v>12201</v>
      </c>
      <c r="E253" s="6">
        <v>1750</v>
      </c>
      <c r="F253" s="6">
        <v>447</v>
      </c>
      <c r="G253" s="6">
        <v>96</v>
      </c>
      <c r="H253" s="7">
        <f>G253/F253*100</f>
        <v>21.476510067114095</v>
      </c>
      <c r="I253" s="8">
        <f>G253/(E253/100000)</f>
        <v>5485.7142857142853</v>
      </c>
      <c r="J253" s="1">
        <v>4</v>
      </c>
      <c r="K253" s="9">
        <f>I253/100000</f>
        <v>5.4857142857142854E-2</v>
      </c>
      <c r="L253" s="1">
        <v>0.79100000000000004</v>
      </c>
      <c r="M253" s="10">
        <v>0.14069999999999999</v>
      </c>
      <c r="N253" s="9">
        <f>0.3328+(0.3351*K253)-(0.3324*L253)+(0.333*M252)</f>
        <v>0.24889342857142857</v>
      </c>
    </row>
    <row r="254" spans="1:14" ht="15.75" x14ac:dyDescent="0.25">
      <c r="A254">
        <v>252</v>
      </c>
      <c r="B254" s="4" t="s">
        <v>268</v>
      </c>
      <c r="C254" s="5" t="s">
        <v>274</v>
      </c>
      <c r="D254" s="1">
        <v>12301</v>
      </c>
      <c r="E254" s="6">
        <v>6809</v>
      </c>
      <c r="F254" s="6">
        <v>1301</v>
      </c>
      <c r="G254" s="6">
        <v>789</v>
      </c>
      <c r="H254" s="7">
        <f>G254/F254*100</f>
        <v>60.645657186779403</v>
      </c>
      <c r="I254" s="8">
        <f>G254/(E254/100000)</f>
        <v>11587.604640916434</v>
      </c>
      <c r="J254" s="1">
        <v>4</v>
      </c>
      <c r="K254" s="9">
        <f>I254/100000</f>
        <v>0.11587604640916434</v>
      </c>
      <c r="L254" s="1">
        <v>0.73399999999999999</v>
      </c>
      <c r="M254" s="10">
        <v>0.28910000000000002</v>
      </c>
      <c r="N254" s="9">
        <f>0.3328+(0.3351*K254)-(0.3324*L254)+(0.333*M253)</f>
        <v>0.17450156315171098</v>
      </c>
    </row>
    <row r="255" spans="1:14" ht="15.75" x14ac:dyDescent="0.25">
      <c r="A255">
        <v>253</v>
      </c>
      <c r="B255" s="4" t="s">
        <v>268</v>
      </c>
      <c r="C255" s="5" t="s">
        <v>275</v>
      </c>
      <c r="D255" s="1">
        <v>12302</v>
      </c>
      <c r="E255" s="6">
        <v>431</v>
      </c>
      <c r="F255" s="6">
        <v>84</v>
      </c>
      <c r="G255" s="6">
        <v>57</v>
      </c>
      <c r="H255" s="7">
        <f>G255/F255*100</f>
        <v>67.857142857142861</v>
      </c>
      <c r="I255" s="8">
        <f>G255/(E255/100000)</f>
        <v>13225.058004640372</v>
      </c>
      <c r="J255" s="1">
        <v>4</v>
      </c>
      <c r="K255" s="9">
        <f>I255/100000</f>
        <v>0.13225058004640372</v>
      </c>
      <c r="L255" s="1">
        <v>0.74299999999999999</v>
      </c>
      <c r="M255" s="10">
        <v>0.51429999999999998</v>
      </c>
      <c r="N255" s="9">
        <f>0.3328+(0.3351*K255)-(0.3324*L255)+(0.333*M254)</f>
        <v>0.22641426937354991</v>
      </c>
    </row>
    <row r="256" spans="1:14" ht="15.75" hidden="1" x14ac:dyDescent="0.25">
      <c r="A256">
        <v>254</v>
      </c>
      <c r="B256" s="4" t="s">
        <v>268</v>
      </c>
      <c r="C256" s="5" t="s">
        <v>276</v>
      </c>
      <c r="D256" s="1">
        <v>12303</v>
      </c>
      <c r="E256" s="6">
        <v>157</v>
      </c>
      <c r="F256" s="6">
        <v>27</v>
      </c>
      <c r="G256" s="6">
        <v>11</v>
      </c>
      <c r="H256" s="7">
        <f>G256/F256*100</f>
        <v>40.74074074074074</v>
      </c>
      <c r="I256" s="8">
        <f>G256/(E256/100000)</f>
        <v>7006.3694267515921</v>
      </c>
      <c r="J256" s="1">
        <v>5</v>
      </c>
      <c r="K256" s="9">
        <f>I256/100000</f>
        <v>7.0063694267515922E-2</v>
      </c>
      <c r="L256" s="1"/>
      <c r="M256" s="10">
        <v>0.42209999999999998</v>
      </c>
      <c r="N256" s="1"/>
    </row>
    <row r="257" spans="1:19" ht="15.75" x14ac:dyDescent="0.25">
      <c r="A257">
        <v>255</v>
      </c>
      <c r="B257" s="4" t="s">
        <v>268</v>
      </c>
      <c r="C257" s="5" t="s">
        <v>277</v>
      </c>
      <c r="D257" s="1">
        <v>12401</v>
      </c>
      <c r="E257" s="6">
        <v>24152</v>
      </c>
      <c r="F257" s="6">
        <v>4124</v>
      </c>
      <c r="G257" s="6">
        <v>3467</v>
      </c>
      <c r="H257" s="7">
        <f>G257/F257*100</f>
        <v>84.068865179437438</v>
      </c>
      <c r="I257" s="8">
        <f>G257/(E257/100000)</f>
        <v>14354.918847300431</v>
      </c>
      <c r="J257" s="1">
        <v>3</v>
      </c>
      <c r="K257" s="9">
        <f>I257/100000</f>
        <v>0.1435491884730043</v>
      </c>
      <c r="L257" s="1">
        <v>0.65</v>
      </c>
      <c r="M257" s="10">
        <v>0.2316</v>
      </c>
      <c r="N257" s="9">
        <f>0.3328+(0.3351*K257)-(0.3324*L257)+(0.333*M256)</f>
        <v>0.30540263305730375</v>
      </c>
    </row>
    <row r="258" spans="1:19" ht="15.75" hidden="1" x14ac:dyDescent="0.25">
      <c r="A258">
        <v>256</v>
      </c>
      <c r="B258" s="4" t="s">
        <v>268</v>
      </c>
      <c r="C258" s="5" t="s">
        <v>278</v>
      </c>
      <c r="D258" s="1">
        <v>12402</v>
      </c>
      <c r="E258" s="6">
        <v>203</v>
      </c>
      <c r="F258" s="6">
        <v>23</v>
      </c>
      <c r="G258" s="6">
        <v>25</v>
      </c>
      <c r="H258" s="7">
        <f>G258/F258*100</f>
        <v>108.69565217391303</v>
      </c>
      <c r="I258" s="8">
        <f>G258/(E258/100000)</f>
        <v>12315.270935960591</v>
      </c>
      <c r="J258" s="1">
        <v>5</v>
      </c>
      <c r="K258" s="9">
        <f>I258/100000</f>
        <v>0.1231527093596059</v>
      </c>
      <c r="L258" s="1"/>
      <c r="M258" s="10">
        <v>0.1726</v>
      </c>
      <c r="N258" s="1"/>
    </row>
    <row r="259" spans="1:19" ht="15.75" x14ac:dyDescent="0.25">
      <c r="A259">
        <v>257</v>
      </c>
      <c r="B259" s="4" t="s">
        <v>279</v>
      </c>
      <c r="C259" s="5" t="s">
        <v>280</v>
      </c>
      <c r="D259" s="1">
        <v>13101</v>
      </c>
      <c r="E259" s="6">
        <v>438856</v>
      </c>
      <c r="F259" s="6">
        <v>55702</v>
      </c>
      <c r="G259" s="6">
        <v>35437</v>
      </c>
      <c r="H259" s="7">
        <f>G259/F259*100</f>
        <v>63.618900578076186</v>
      </c>
      <c r="I259" s="8">
        <f>G259/(E259/100000)</f>
        <v>8074.8582678600724</v>
      </c>
      <c r="J259" s="1">
        <v>1</v>
      </c>
      <c r="K259" s="9">
        <f>I259/100000</f>
        <v>8.074858267860073E-2</v>
      </c>
      <c r="L259" s="1">
        <v>0.66200000000000003</v>
      </c>
      <c r="M259" s="10">
        <v>0.1376</v>
      </c>
      <c r="N259" s="9">
        <f>0.3328+(0.3351*K259)-(0.3324*L259)+(0.333*M258)</f>
        <v>0.19728585005559912</v>
      </c>
    </row>
    <row r="260" spans="1:19" ht="15.75" x14ac:dyDescent="0.25">
      <c r="A260">
        <v>258</v>
      </c>
      <c r="B260" s="4" t="s">
        <v>279</v>
      </c>
      <c r="C260" s="5" t="s">
        <v>281</v>
      </c>
      <c r="D260" s="1">
        <v>13102</v>
      </c>
      <c r="E260" s="6">
        <v>85041</v>
      </c>
      <c r="F260" s="6">
        <v>15862</v>
      </c>
      <c r="G260" s="6">
        <v>11059</v>
      </c>
      <c r="H260" s="7">
        <f>G260/F260*100</f>
        <v>69.720085739503219</v>
      </c>
      <c r="I260" s="8">
        <f>G260/(E260/100000)</f>
        <v>13004.315565433144</v>
      </c>
      <c r="J260" s="1">
        <v>1</v>
      </c>
      <c r="K260" s="9">
        <f>I260/100000</f>
        <v>0.13004315565433144</v>
      </c>
      <c r="L260" s="1">
        <v>0.63300000000000001</v>
      </c>
      <c r="M260" s="10">
        <v>0.30430000000000001</v>
      </c>
      <c r="N260" s="9">
        <f>0.3328+(0.3351*K260)-(0.3324*L260)+(0.333*M259)</f>
        <v>0.21178906145976648</v>
      </c>
    </row>
    <row r="261" spans="1:19" ht="15.75" x14ac:dyDescent="0.25">
      <c r="A261">
        <v>259</v>
      </c>
      <c r="B261" s="4" t="s">
        <v>279</v>
      </c>
      <c r="C261" s="5" t="s">
        <v>282</v>
      </c>
      <c r="D261" s="1">
        <v>13103</v>
      </c>
      <c r="E261" s="6">
        <v>127250</v>
      </c>
      <c r="F261" s="6">
        <v>22366</v>
      </c>
      <c r="G261" s="6">
        <v>18733</v>
      </c>
      <c r="H261" s="7">
        <f>G261/F261*100</f>
        <v>83.75659483144058</v>
      </c>
      <c r="I261" s="8">
        <f>G261/(E261/100000)</f>
        <v>14721.414538310413</v>
      </c>
      <c r="J261" s="1">
        <v>1</v>
      </c>
      <c r="K261" s="9">
        <f>I261/100000</f>
        <v>0.14721414538310412</v>
      </c>
      <c r="L261" s="1">
        <v>0.52100000000000002</v>
      </c>
      <c r="M261" s="10">
        <v>0.1404</v>
      </c>
      <c r="N261" s="9">
        <f>0.3328+(0.3351*K261)-(0.3324*L261)+(0.333*M260)</f>
        <v>0.3102829601178782</v>
      </c>
    </row>
    <row r="262" spans="1:19" ht="15.75" x14ac:dyDescent="0.25">
      <c r="A262">
        <v>260</v>
      </c>
      <c r="B262" s="4" t="s">
        <v>279</v>
      </c>
      <c r="C262" s="5" t="s">
        <v>283</v>
      </c>
      <c r="D262" s="1">
        <v>13104</v>
      </c>
      <c r="E262" s="6">
        <v>121587</v>
      </c>
      <c r="F262" s="6">
        <v>20108</v>
      </c>
      <c r="G262" s="6">
        <v>19248</v>
      </c>
      <c r="H262" s="7">
        <f>G262/F262*100</f>
        <v>95.723095285458527</v>
      </c>
      <c r="I262" s="8">
        <f>G262/(E262/100000)</f>
        <v>15830.639788793209</v>
      </c>
      <c r="J262" s="1">
        <v>1</v>
      </c>
      <c r="K262" s="9">
        <f>I262/100000</f>
        <v>0.15830639788793208</v>
      </c>
      <c r="L262" s="1">
        <v>0.58699999999999997</v>
      </c>
      <c r="M262" s="10">
        <v>0.1212</v>
      </c>
      <c r="N262" s="9">
        <f>0.3328+(0.3351*K262)-(0.3324*L262)+(0.333*M261)</f>
        <v>0.23748287393224604</v>
      </c>
    </row>
    <row r="263" spans="1:19" ht="15.75" x14ac:dyDescent="0.25">
      <c r="A263">
        <v>261</v>
      </c>
      <c r="B263" s="4" t="s">
        <v>279</v>
      </c>
      <c r="C263" s="5" t="s">
        <v>284</v>
      </c>
      <c r="D263" s="1">
        <v>13105</v>
      </c>
      <c r="E263" s="6">
        <v>155257</v>
      </c>
      <c r="F263" s="6">
        <v>27509</v>
      </c>
      <c r="G263" s="6">
        <v>24036</v>
      </c>
      <c r="H263" s="7">
        <f>G263/F263*100</f>
        <v>87.37504089570686</v>
      </c>
      <c r="I263" s="8">
        <f>G263/(E263/100000)</f>
        <v>15481.427568483225</v>
      </c>
      <c r="J263" s="1">
        <v>1</v>
      </c>
      <c r="K263" s="9">
        <f>I263/100000</f>
        <v>0.15481427568483225</v>
      </c>
      <c r="L263" s="1">
        <v>0.57199999999999995</v>
      </c>
      <c r="M263" s="10">
        <v>0.13170000000000001</v>
      </c>
      <c r="N263" s="9">
        <f>0.3328+(0.3351*K263)-(0.3324*L263)+(0.333*M262)</f>
        <v>0.23490506378198731</v>
      </c>
    </row>
    <row r="264" spans="1:19" ht="15.75" x14ac:dyDescent="0.25">
      <c r="A264">
        <v>262</v>
      </c>
      <c r="B264" s="4" t="s">
        <v>279</v>
      </c>
      <c r="C264" s="5" t="s">
        <v>285</v>
      </c>
      <c r="D264" s="1">
        <v>13106</v>
      </c>
      <c r="E264" s="6">
        <v>181049</v>
      </c>
      <c r="F264" s="6">
        <v>31175</v>
      </c>
      <c r="G264" s="6">
        <v>19291</v>
      </c>
      <c r="H264" s="7">
        <f>G264/F264*100</f>
        <v>61.879711307137129</v>
      </c>
      <c r="I264" s="8">
        <f>G264/(E264/100000)</f>
        <v>10655.126512712028</v>
      </c>
      <c r="J264" s="1">
        <v>1</v>
      </c>
      <c r="K264" s="9">
        <f>I264/100000</f>
        <v>0.10655126512712028</v>
      </c>
      <c r="L264" s="1">
        <v>0.59399999999999997</v>
      </c>
      <c r="M264" s="10">
        <v>0.27889999999999998</v>
      </c>
      <c r="N264" s="9">
        <f>0.3328+(0.3351*K264)-(0.3324*L264)+(0.333*M263)</f>
        <v>0.21491582894409803</v>
      </c>
    </row>
    <row r="265" spans="1:19" ht="15.75" x14ac:dyDescent="0.25">
      <c r="A265">
        <v>263</v>
      </c>
      <c r="B265" s="4" t="s">
        <v>279</v>
      </c>
      <c r="C265" s="5" t="s">
        <v>286</v>
      </c>
      <c r="D265" s="1">
        <v>13107</v>
      </c>
      <c r="E265" s="6">
        <v>101808</v>
      </c>
      <c r="F265" s="6">
        <v>19459</v>
      </c>
      <c r="G265" s="6">
        <v>11458</v>
      </c>
      <c r="H265" s="7">
        <f>G265/F265*100</f>
        <v>58.882779176730558</v>
      </c>
      <c r="I265" s="8">
        <f>G265/(E265/100000)</f>
        <v>11254.518308973753</v>
      </c>
      <c r="J265" s="1">
        <v>1</v>
      </c>
      <c r="K265" s="9">
        <f>I265/100000</f>
        <v>0.11254518308973753</v>
      </c>
      <c r="L265" s="1">
        <v>0.75</v>
      </c>
      <c r="M265" s="10">
        <v>0.1105</v>
      </c>
      <c r="N265" s="9">
        <f>0.3328+(0.3351*K265)-(0.3324*L265)+(0.333*M264)</f>
        <v>0.21408759085337109</v>
      </c>
    </row>
    <row r="266" spans="1:19" ht="15.75" x14ac:dyDescent="0.25">
      <c r="A266">
        <v>264</v>
      </c>
      <c r="B266" s="4" t="s">
        <v>279</v>
      </c>
      <c r="C266" s="5" t="s">
        <v>287</v>
      </c>
      <c r="D266" s="1">
        <v>13108</v>
      </c>
      <c r="E266" s="6">
        <v>116943</v>
      </c>
      <c r="F266" s="6">
        <v>20475</v>
      </c>
      <c r="G266" s="6">
        <v>12839</v>
      </c>
      <c r="H266" s="7">
        <f>G266/F266*100</f>
        <v>62.705738705738703</v>
      </c>
      <c r="I266" s="8">
        <f>G266/(E266/100000)</f>
        <v>10978.852945452058</v>
      </c>
      <c r="J266" s="1">
        <v>1</v>
      </c>
      <c r="K266" s="9">
        <f>I266/100000</f>
        <v>0.10978852945452057</v>
      </c>
      <c r="L266" s="1">
        <v>0.57599999999999996</v>
      </c>
      <c r="M266" s="10">
        <v>0.24010000000000001</v>
      </c>
      <c r="N266" s="9">
        <f>0.3328+(0.3351*K266)-(0.3324*L266)+(0.333*M265)</f>
        <v>0.21492423622020984</v>
      </c>
    </row>
    <row r="267" spans="1:19" ht="15.75" x14ac:dyDescent="0.25">
      <c r="A267">
        <v>265</v>
      </c>
      <c r="B267" s="4" t="s">
        <v>279</v>
      </c>
      <c r="C267" s="5" t="s">
        <v>288</v>
      </c>
      <c r="D267" s="1">
        <v>13109</v>
      </c>
      <c r="E267" s="6">
        <v>103157</v>
      </c>
      <c r="F267" s="6">
        <v>17137</v>
      </c>
      <c r="G267" s="6">
        <v>14776</v>
      </c>
      <c r="H267" s="7">
        <f>G267/F267*100</f>
        <v>86.222792787535738</v>
      </c>
      <c r="I267" s="8">
        <f>G267/(E267/100000)</f>
        <v>14323.797706408677</v>
      </c>
      <c r="J267" s="1">
        <v>1</v>
      </c>
      <c r="K267" s="9">
        <f>I267/100000</f>
        <v>0.14323797706408678</v>
      </c>
      <c r="L267" s="1">
        <v>0.66</v>
      </c>
      <c r="M267" s="10">
        <v>0.49969999999999998</v>
      </c>
      <c r="N267" s="9">
        <f>0.3328+(0.3351*K267)-(0.3324*L267)+(0.333*M266)</f>
        <v>0.24136834611417549</v>
      </c>
    </row>
    <row r="268" spans="1:19" ht="15.75" x14ac:dyDescent="0.25">
      <c r="A268">
        <v>266</v>
      </c>
      <c r="B268" s="4" t="s">
        <v>279</v>
      </c>
      <c r="C268" s="5" t="s">
        <v>289</v>
      </c>
      <c r="D268" s="1">
        <v>13110</v>
      </c>
      <c r="E268" s="6">
        <v>374836</v>
      </c>
      <c r="F268" s="6">
        <v>58762</v>
      </c>
      <c r="G268" s="6">
        <v>60747</v>
      </c>
      <c r="H268" s="7">
        <f>G268/F268*100</f>
        <v>103.37803342296041</v>
      </c>
      <c r="I268" s="8">
        <f>G268/(E268/100000)</f>
        <v>16206.287549755094</v>
      </c>
      <c r="J268" s="1">
        <v>1</v>
      </c>
      <c r="K268" s="9">
        <f>I268/100000</f>
        <v>0.16206287549755094</v>
      </c>
      <c r="L268" s="1">
        <v>0.70099999999999996</v>
      </c>
      <c r="M268" s="10">
        <v>0.2465</v>
      </c>
      <c r="N268" s="9">
        <f>0.3328+(0.3351*K268)-(0.3324*L268)+(0.333*M267)</f>
        <v>0.32049496957922929</v>
      </c>
    </row>
    <row r="269" spans="1:19" ht="15.75" x14ac:dyDescent="0.25">
      <c r="A269">
        <v>267</v>
      </c>
      <c r="B269" s="4" t="s">
        <v>279</v>
      </c>
      <c r="C269" s="5" t="s">
        <v>290</v>
      </c>
      <c r="D269" s="1">
        <v>13111</v>
      </c>
      <c r="E269" s="6">
        <v>112022</v>
      </c>
      <c r="F269" s="6">
        <v>18992</v>
      </c>
      <c r="G269" s="6">
        <v>18281</v>
      </c>
      <c r="H269" s="7">
        <f>G269/F269*100</f>
        <v>96.256318449873632</v>
      </c>
      <c r="I269" s="8">
        <f>G269/(E269/100000)</f>
        <v>16319.115887950582</v>
      </c>
      <c r="J269" s="1">
        <v>1</v>
      </c>
      <c r="K269" s="9">
        <f>I269/100000</f>
        <v>0.16319115887950583</v>
      </c>
      <c r="L269" s="1">
        <v>0.56799999999999995</v>
      </c>
      <c r="M269" s="10">
        <v>0.33169999999999999</v>
      </c>
      <c r="N269" s="9">
        <f>0.3328+(0.3351*K269)-(0.3324*L269)+(0.333*M268)</f>
        <v>0.28076665734052242</v>
      </c>
    </row>
    <row r="270" spans="1:19" ht="15.75" x14ac:dyDescent="0.25">
      <c r="A270">
        <v>268</v>
      </c>
      <c r="B270" s="4" t="s">
        <v>279</v>
      </c>
      <c r="C270" s="5" t="s">
        <v>291</v>
      </c>
      <c r="D270" s="1">
        <v>13112</v>
      </c>
      <c r="E270" s="6">
        <v>175421</v>
      </c>
      <c r="F270" s="6">
        <v>35740</v>
      </c>
      <c r="G270" s="6">
        <v>22301</v>
      </c>
      <c r="H270" s="7">
        <f>G270/F270*100</f>
        <v>62.397873531057634</v>
      </c>
      <c r="I270" s="8">
        <f>G270/(E270/100000)</f>
        <v>12712.845098363365</v>
      </c>
      <c r="J270" s="1">
        <v>1</v>
      </c>
      <c r="K270" s="9">
        <f>I270/100000</f>
        <v>0.12712845098363365</v>
      </c>
      <c r="L270" s="1">
        <v>0.498</v>
      </c>
      <c r="M270" s="10">
        <v>0.30020000000000002</v>
      </c>
      <c r="N270" s="9">
        <f>0.3328+(0.3351*K270)-(0.3324*L270)+(0.333*M269)</f>
        <v>0.32032164392461565</v>
      </c>
    </row>
    <row r="271" spans="1:19" ht="15.75" x14ac:dyDescent="0.25">
      <c r="A271">
        <v>269</v>
      </c>
      <c r="B271" s="4" t="s">
        <v>279</v>
      </c>
      <c r="C271" s="5" t="s">
        <v>292</v>
      </c>
      <c r="D271" s="1">
        <v>13113</v>
      </c>
      <c r="E271" s="6">
        <v>89870</v>
      </c>
      <c r="F271" s="6">
        <v>14657</v>
      </c>
      <c r="G271" s="6">
        <v>16096</v>
      </c>
      <c r="H271" s="7">
        <f>G271/F271*100</f>
        <v>109.81783448181757</v>
      </c>
      <c r="I271" s="8">
        <f>G271/(E271/100000)</f>
        <v>17910.314899298985</v>
      </c>
      <c r="J271" s="1">
        <v>1</v>
      </c>
      <c r="K271" s="9">
        <f>I271/100000</f>
        <v>0.17910314899298985</v>
      </c>
      <c r="L271" s="1">
        <v>0.86199999999999999</v>
      </c>
      <c r="M271" s="10">
        <v>0.1736</v>
      </c>
      <c r="N271" s="9">
        <f>0.3328+(0.3351*K271)-(0.3324*L271)+(0.333*M270)</f>
        <v>0.20625526522755094</v>
      </c>
      <c r="O271" s="14"/>
      <c r="P271" s="15"/>
      <c r="R271" s="15"/>
      <c r="S271" s="15"/>
    </row>
    <row r="272" spans="1:19" ht="15.75" x14ac:dyDescent="0.25">
      <c r="A272">
        <v>270</v>
      </c>
      <c r="B272" s="4" t="s">
        <v>279</v>
      </c>
      <c r="C272" s="5" t="s">
        <v>293</v>
      </c>
      <c r="D272" s="1">
        <v>13114</v>
      </c>
      <c r="E272" s="6">
        <v>296134</v>
      </c>
      <c r="F272" s="6">
        <v>41831</v>
      </c>
      <c r="G272" s="6">
        <v>53683</v>
      </c>
      <c r="H272" s="7">
        <f>G272/F272*100</f>
        <v>128.333054433315</v>
      </c>
      <c r="I272" s="8">
        <f>G272/(E272/100000)</f>
        <v>18127.942080274472</v>
      </c>
      <c r="J272" s="1">
        <v>1</v>
      </c>
      <c r="K272" s="9">
        <f>I272/100000</f>
        <v>0.18127942080274473</v>
      </c>
      <c r="L272" s="1">
        <v>0.93600000000000005</v>
      </c>
      <c r="M272" s="10">
        <v>6.7600000000000007E-2</v>
      </c>
      <c r="N272" s="9">
        <f>0.3328+(0.3351*K272)-(0.3324*L272)+(0.333*M271)</f>
        <v>0.14022913391099978</v>
      </c>
    </row>
    <row r="273" spans="1:14" ht="15.75" x14ac:dyDescent="0.25">
      <c r="A273">
        <v>271</v>
      </c>
      <c r="B273" s="4" t="s">
        <v>279</v>
      </c>
      <c r="C273" s="5" t="s">
        <v>294</v>
      </c>
      <c r="D273" s="1">
        <v>13115</v>
      </c>
      <c r="E273" s="6">
        <v>112620</v>
      </c>
      <c r="F273" s="6">
        <v>22642</v>
      </c>
      <c r="G273" s="6">
        <v>12825</v>
      </c>
      <c r="H273" s="7">
        <f>G273/F273*100</f>
        <v>56.642522745340514</v>
      </c>
      <c r="I273" s="8">
        <f>G273/(E273/100000)</f>
        <v>11387.852956846031</v>
      </c>
      <c r="J273" s="1">
        <v>1</v>
      </c>
      <c r="K273" s="9">
        <f>I273/100000</f>
        <v>0.11387852956846031</v>
      </c>
      <c r="L273" s="1">
        <v>0.90900000000000003</v>
      </c>
      <c r="M273" s="10">
        <v>0.13239999999999999</v>
      </c>
      <c r="N273" s="9">
        <f>0.3328+(0.3351*K273)-(0.3324*L273)+(0.333*M272)</f>
        <v>9.1319895258391071E-2</v>
      </c>
    </row>
    <row r="274" spans="1:14" ht="15.75" x14ac:dyDescent="0.25">
      <c r="A274">
        <v>272</v>
      </c>
      <c r="B274" s="4" t="s">
        <v>279</v>
      </c>
      <c r="C274" s="5" t="s">
        <v>295</v>
      </c>
      <c r="D274" s="1">
        <v>13116</v>
      </c>
      <c r="E274" s="6">
        <v>87295</v>
      </c>
      <c r="F274" s="6">
        <v>15405</v>
      </c>
      <c r="G274" s="6">
        <v>13601</v>
      </c>
      <c r="H274" s="7">
        <f>G274/F274*100</f>
        <v>88.289516390782225</v>
      </c>
      <c r="I274" s="8">
        <f>G274/(E274/100000)</f>
        <v>15580.502892490978</v>
      </c>
      <c r="J274" s="1">
        <v>1</v>
      </c>
      <c r="K274" s="9">
        <f>I274/100000</f>
        <v>0.15580502892490977</v>
      </c>
      <c r="L274" s="1">
        <v>0.5</v>
      </c>
      <c r="M274" s="10">
        <v>0.2369</v>
      </c>
      <c r="N274" s="9">
        <f>0.3328+(0.3351*K274)-(0.3324*L274)+(0.333*M273)</f>
        <v>0.26289946519273727</v>
      </c>
    </row>
    <row r="275" spans="1:14" ht="15.75" x14ac:dyDescent="0.25">
      <c r="A275">
        <v>273</v>
      </c>
      <c r="B275" s="4" t="s">
        <v>279</v>
      </c>
      <c r="C275" s="5" t="s">
        <v>296</v>
      </c>
      <c r="D275" s="1">
        <v>13117</v>
      </c>
      <c r="E275" s="6">
        <v>91290</v>
      </c>
      <c r="F275" s="6">
        <v>14324</v>
      </c>
      <c r="G275" s="6">
        <v>15094</v>
      </c>
      <c r="H275" s="7">
        <f>G275/F275*100</f>
        <v>105.37559340966212</v>
      </c>
      <c r="I275" s="8">
        <f>G275/(E275/100000)</f>
        <v>16534.122028699749</v>
      </c>
      <c r="J275" s="1">
        <v>1</v>
      </c>
      <c r="K275" s="9">
        <f>I275/100000</f>
        <v>0.16534122028699749</v>
      </c>
      <c r="L275" s="1">
        <v>0.57999999999999996</v>
      </c>
      <c r="M275" s="10">
        <v>0.2155</v>
      </c>
      <c r="N275" s="9">
        <f>0.3328+(0.3351*K275)-(0.3324*L275)+(0.333*M274)</f>
        <v>0.27430154291817288</v>
      </c>
    </row>
    <row r="276" spans="1:14" ht="15.75" x14ac:dyDescent="0.25">
      <c r="A276">
        <v>274</v>
      </c>
      <c r="B276" s="4" t="s">
        <v>279</v>
      </c>
      <c r="C276" s="5" t="s">
        <v>297</v>
      </c>
      <c r="D276" s="1">
        <v>13118</v>
      </c>
      <c r="E276" s="6">
        <v>123800</v>
      </c>
      <c r="F276" s="6">
        <v>17981</v>
      </c>
      <c r="G276" s="6">
        <v>19926</v>
      </c>
      <c r="H276" s="7">
        <f>G276/F276*100</f>
        <v>110.81697347199821</v>
      </c>
      <c r="I276" s="8">
        <f>G276/(E276/100000)</f>
        <v>16095.315024232634</v>
      </c>
      <c r="J276" s="1">
        <v>1</v>
      </c>
      <c r="K276" s="9">
        <f>I276/100000</f>
        <v>0.16095315024232634</v>
      </c>
      <c r="L276" s="1">
        <v>0.73199999999999998</v>
      </c>
      <c r="M276" s="10">
        <v>0.12089999999999999</v>
      </c>
      <c r="N276" s="9">
        <f>0.3328+(0.3351*K276)-(0.3324*L276)+(0.333*M275)</f>
        <v>0.21518010064620358</v>
      </c>
    </row>
    <row r="277" spans="1:14" ht="15.75" x14ac:dyDescent="0.25">
      <c r="A277">
        <v>275</v>
      </c>
      <c r="B277" s="4" t="s">
        <v>279</v>
      </c>
      <c r="C277" s="5" t="s">
        <v>298</v>
      </c>
      <c r="D277" s="1">
        <v>13119</v>
      </c>
      <c r="E277" s="6">
        <v>503635</v>
      </c>
      <c r="F277" s="6">
        <v>80972</v>
      </c>
      <c r="G277" s="6">
        <v>71127</v>
      </c>
      <c r="H277" s="7">
        <f>G277/F277*100</f>
        <v>87.841476065800521</v>
      </c>
      <c r="I277" s="8">
        <f>G277/(E277/100000)</f>
        <v>14122.72776911851</v>
      </c>
      <c r="J277" s="1">
        <v>1</v>
      </c>
      <c r="K277" s="9">
        <f>I277/100000</f>
        <v>0.14122727769118509</v>
      </c>
      <c r="L277" s="1">
        <v>0.7</v>
      </c>
      <c r="M277" s="10">
        <v>0.27229999999999999</v>
      </c>
      <c r="N277" s="9">
        <f>0.3328+(0.3351*K277)-(0.3324*L277)+(0.333*M276)</f>
        <v>0.18770496075431617</v>
      </c>
    </row>
    <row r="278" spans="1:14" ht="15.75" x14ac:dyDescent="0.25">
      <c r="A278">
        <v>276</v>
      </c>
      <c r="B278" s="4" t="s">
        <v>279</v>
      </c>
      <c r="C278" s="5" t="s">
        <v>299</v>
      </c>
      <c r="D278" s="1">
        <v>13120</v>
      </c>
      <c r="E278" s="6">
        <v>241467</v>
      </c>
      <c r="F278" s="6">
        <v>31138</v>
      </c>
      <c r="G278" s="6">
        <v>35780</v>
      </c>
      <c r="H278" s="7">
        <f>G278/F278*100</f>
        <v>114.90782966150684</v>
      </c>
      <c r="I278" s="8">
        <f>G278/(E278/100000)</f>
        <v>14817.759776698265</v>
      </c>
      <c r="J278" s="1">
        <v>1</v>
      </c>
      <c r="K278" s="9">
        <f>I278/100000</f>
        <v>0.14817759776698267</v>
      </c>
      <c r="L278" s="1">
        <v>0.85799999999999998</v>
      </c>
      <c r="M278" s="10">
        <v>4.2700000000000002E-2</v>
      </c>
      <c r="N278" s="9">
        <f>0.3328+(0.3351*K278)-(0.3324*L278)+(0.333*M277)</f>
        <v>0.18793101301171591</v>
      </c>
    </row>
    <row r="279" spans="1:14" ht="15.75" x14ac:dyDescent="0.25">
      <c r="A279">
        <v>277</v>
      </c>
      <c r="B279" s="4" t="s">
        <v>279</v>
      </c>
      <c r="C279" s="5" t="s">
        <v>300</v>
      </c>
      <c r="D279" s="1">
        <v>13121</v>
      </c>
      <c r="E279" s="6">
        <v>96062</v>
      </c>
      <c r="F279" s="6">
        <v>15423</v>
      </c>
      <c r="G279" s="6">
        <v>17556</v>
      </c>
      <c r="H279" s="7">
        <f>G279/F279*100</f>
        <v>113.82999416455944</v>
      </c>
      <c r="I279" s="8">
        <f>G279/(E279/100000)</f>
        <v>18275.696945722553</v>
      </c>
      <c r="J279" s="1">
        <v>1</v>
      </c>
      <c r="K279" s="9">
        <f>I279/100000</f>
        <v>0.18275696945722553</v>
      </c>
      <c r="L279" s="1">
        <v>0.56399999999999995</v>
      </c>
      <c r="M279" s="10">
        <v>0.16</v>
      </c>
      <c r="N279" s="9">
        <f>0.3328+(0.3351*K279)-(0.3324*L279)+(0.333*M278)</f>
        <v>0.22078736046511629</v>
      </c>
    </row>
    <row r="280" spans="1:14" ht="15.75" x14ac:dyDescent="0.25">
      <c r="A280">
        <v>278</v>
      </c>
      <c r="B280" s="4" t="s">
        <v>279</v>
      </c>
      <c r="C280" s="5" t="s">
        <v>301</v>
      </c>
      <c r="D280" s="1">
        <v>13122</v>
      </c>
      <c r="E280" s="6">
        <v>236478</v>
      </c>
      <c r="F280" s="6">
        <v>40122</v>
      </c>
      <c r="G280" s="6">
        <v>31555</v>
      </c>
      <c r="H280" s="7">
        <f>G280/F280*100</f>
        <v>78.647624744529182</v>
      </c>
      <c r="I280" s="8">
        <f>G280/(E280/100000)</f>
        <v>13343.735992354468</v>
      </c>
      <c r="J280" s="1">
        <v>1</v>
      </c>
      <c r="K280" s="9">
        <f>I280/100000</f>
        <v>0.13343735992354469</v>
      </c>
      <c r="L280" s="1">
        <v>0.70199999999999996</v>
      </c>
      <c r="M280" s="10">
        <v>0.16789999999999999</v>
      </c>
      <c r="N280" s="9">
        <f>0.3328+(0.3351*K280)-(0.3324*L280)+(0.333*M279)</f>
        <v>0.19745005931037984</v>
      </c>
    </row>
    <row r="281" spans="1:14" ht="15.75" x14ac:dyDescent="0.25">
      <c r="A281">
        <v>279</v>
      </c>
      <c r="B281" s="4" t="s">
        <v>279</v>
      </c>
      <c r="C281" s="5" t="s">
        <v>302</v>
      </c>
      <c r="D281" s="1">
        <v>13123</v>
      </c>
      <c r="E281" s="6">
        <v>143974</v>
      </c>
      <c r="F281" s="6">
        <v>17123</v>
      </c>
      <c r="G281" s="6">
        <v>23105</v>
      </c>
      <c r="H281" s="7">
        <f>G281/F281*100</f>
        <v>134.93546691584419</v>
      </c>
      <c r="I281" s="8">
        <f>G281/(E281/100000)</f>
        <v>16048.036451025879</v>
      </c>
      <c r="J281" s="1">
        <v>1</v>
      </c>
      <c r="K281" s="9">
        <f>I281/100000</f>
        <v>0.16048036451025879</v>
      </c>
      <c r="L281" s="1">
        <v>0.88600000000000001</v>
      </c>
      <c r="M281" s="10">
        <v>0.13880000000000001</v>
      </c>
      <c r="N281" s="9">
        <f>0.3328+(0.3351*K281)-(0.3324*L281)+(0.333*M280)</f>
        <v>0.14798127014738768</v>
      </c>
    </row>
    <row r="282" spans="1:14" ht="15.75" x14ac:dyDescent="0.25">
      <c r="A282">
        <v>280</v>
      </c>
      <c r="B282" s="4" t="s">
        <v>279</v>
      </c>
      <c r="C282" s="5" t="s">
        <v>303</v>
      </c>
      <c r="D282" s="11">
        <v>13124</v>
      </c>
      <c r="E282" s="6">
        <v>227820</v>
      </c>
      <c r="F282" s="6">
        <v>40541</v>
      </c>
      <c r="G282" s="6">
        <v>27813</v>
      </c>
      <c r="H282" s="7">
        <f>G282/F282*100</f>
        <v>68.604622480945224</v>
      </c>
      <c r="I282" s="8">
        <f>G282/(E282/100000)</f>
        <v>12208.322359757703</v>
      </c>
      <c r="J282" s="1">
        <v>1</v>
      </c>
      <c r="K282" s="9">
        <f>I282/100000</f>
        <v>0.12208322359757703</v>
      </c>
      <c r="L282" s="1">
        <v>0.64400000000000002</v>
      </c>
      <c r="M282" s="10">
        <v>9.1700000000000004E-2</v>
      </c>
      <c r="N282" s="9">
        <f>0.3328+(0.3351*K282)-(0.3324*L282)+(0.333*M281)</f>
        <v>0.20586488822754803</v>
      </c>
    </row>
    <row r="283" spans="1:14" ht="15.75" x14ac:dyDescent="0.25">
      <c r="A283">
        <v>281</v>
      </c>
      <c r="B283" s="4" t="s">
        <v>279</v>
      </c>
      <c r="C283" s="5" t="s">
        <v>304</v>
      </c>
      <c r="D283" s="1">
        <v>13125</v>
      </c>
      <c r="E283" s="6">
        <v>205624</v>
      </c>
      <c r="F283" s="6">
        <v>39177</v>
      </c>
      <c r="G283" s="6">
        <v>17984</v>
      </c>
      <c r="H283" s="7">
        <f>G283/F283*100</f>
        <v>45.904484774229779</v>
      </c>
      <c r="I283" s="8">
        <f>G283/(E283/100000)</f>
        <v>8746.060771116212</v>
      </c>
      <c r="J283" s="1">
        <v>1</v>
      </c>
      <c r="K283" s="9">
        <f>I283/100000</f>
        <v>8.7460607711162125E-2</v>
      </c>
      <c r="L283" s="1">
        <v>0.65600000000000003</v>
      </c>
      <c r="M283" s="10">
        <v>0.29830000000000001</v>
      </c>
      <c r="N283" s="9">
        <f>0.3328+(0.3351*K283)-(0.3324*L283)+(0.333*M282)</f>
        <v>0.17458974964401042</v>
      </c>
    </row>
    <row r="284" spans="1:14" ht="15.75" x14ac:dyDescent="0.25">
      <c r="A284">
        <v>282</v>
      </c>
      <c r="B284" s="4" t="s">
        <v>279</v>
      </c>
      <c r="C284" s="5" t="s">
        <v>305</v>
      </c>
      <c r="D284" s="1">
        <v>13126</v>
      </c>
      <c r="E284" s="6">
        <v>129351</v>
      </c>
      <c r="F284" s="6">
        <v>22064</v>
      </c>
      <c r="G284" s="6">
        <v>17144</v>
      </c>
      <c r="H284" s="7">
        <f>G284/F284*100</f>
        <v>77.701232777374912</v>
      </c>
      <c r="I284" s="8">
        <f>G284/(E284/100000)</f>
        <v>13253.859653191705</v>
      </c>
      <c r="J284" s="1">
        <v>1</v>
      </c>
      <c r="K284" s="9">
        <f>I284/100000</f>
        <v>0.13253859653191705</v>
      </c>
      <c r="L284" s="1">
        <v>0.60399999999999998</v>
      </c>
      <c r="M284" s="10">
        <v>0.12180000000000001</v>
      </c>
      <c r="N284" s="9">
        <f>0.3328+(0.3351*K284)-(0.3324*L284)+(0.333*M283)</f>
        <v>0.2757779836978454</v>
      </c>
    </row>
    <row r="285" spans="1:14" ht="15.75" x14ac:dyDescent="0.25">
      <c r="A285">
        <v>283</v>
      </c>
      <c r="B285" s="4" t="s">
        <v>279</v>
      </c>
      <c r="C285" s="5" t="s">
        <v>306</v>
      </c>
      <c r="D285" s="1">
        <v>13127</v>
      </c>
      <c r="E285" s="6">
        <v>154615</v>
      </c>
      <c r="F285" s="6">
        <v>25486</v>
      </c>
      <c r="G285" s="6">
        <v>22592</v>
      </c>
      <c r="H285" s="7">
        <f>G285/F285*100</f>
        <v>88.644746135133019</v>
      </c>
      <c r="I285" s="8">
        <f>G285/(E285/100000)</f>
        <v>14611.777641237913</v>
      </c>
      <c r="J285" s="1">
        <v>1</v>
      </c>
      <c r="K285" s="9">
        <f>I285/100000</f>
        <v>0.14611777641237914</v>
      </c>
      <c r="L285" s="1">
        <v>0.59</v>
      </c>
      <c r="M285" s="10">
        <v>0.25719999999999998</v>
      </c>
      <c r="N285" s="9">
        <f>0.3328+(0.3351*K285)-(0.3324*L285)+(0.333*M284)</f>
        <v>0.22620746687578824</v>
      </c>
    </row>
    <row r="286" spans="1:14" ht="15.75" x14ac:dyDescent="0.25">
      <c r="A286">
        <v>284</v>
      </c>
      <c r="B286" s="4" t="s">
        <v>279</v>
      </c>
      <c r="C286" s="5" t="s">
        <v>307</v>
      </c>
      <c r="D286" s="1">
        <v>13128</v>
      </c>
      <c r="E286" s="6">
        <v>143622</v>
      </c>
      <c r="F286" s="6">
        <v>27703</v>
      </c>
      <c r="G286" s="6">
        <v>18388</v>
      </c>
      <c r="H286" s="7">
        <f>G286/F286*100</f>
        <v>66.375482799696783</v>
      </c>
      <c r="I286" s="8">
        <f>G286/(E286/100000)</f>
        <v>12803.052457144448</v>
      </c>
      <c r="J286" s="1">
        <v>1</v>
      </c>
      <c r="K286" s="9">
        <f>I286/100000</f>
        <v>0.12803052457144448</v>
      </c>
      <c r="L286" s="1">
        <v>0.58499999999999996</v>
      </c>
      <c r="M286" s="10">
        <v>0.13020000000000001</v>
      </c>
      <c r="N286" s="9">
        <f>0.3328+(0.3351*K286)-(0.3324*L286)+(0.333*M285)</f>
        <v>0.26689662878389109</v>
      </c>
    </row>
    <row r="287" spans="1:14" ht="15.75" x14ac:dyDescent="0.25">
      <c r="A287">
        <v>285</v>
      </c>
      <c r="B287" s="4" t="s">
        <v>279</v>
      </c>
      <c r="C287" s="5" t="s">
        <v>308</v>
      </c>
      <c r="D287" s="1">
        <v>13129</v>
      </c>
      <c r="E287" s="6">
        <v>95602</v>
      </c>
      <c r="F287" s="6">
        <v>14852</v>
      </c>
      <c r="G287" s="6">
        <v>15793</v>
      </c>
      <c r="H287" s="7">
        <f>G287/F287*100</f>
        <v>106.33584702396983</v>
      </c>
      <c r="I287" s="8">
        <f>G287/(E287/100000)</f>
        <v>16519.528880148951</v>
      </c>
      <c r="J287" s="1">
        <v>1</v>
      </c>
      <c r="K287" s="9">
        <f>I287/100000</f>
        <v>0.16519528880148951</v>
      </c>
      <c r="L287" s="1">
        <v>0.61099999999999999</v>
      </c>
      <c r="M287" s="10">
        <v>9.1200000000000003E-2</v>
      </c>
      <c r="N287" s="9">
        <f>0.3328+(0.3351*K287)-(0.3324*L287)+(0.333*M286)</f>
        <v>0.22841714127737911</v>
      </c>
    </row>
    <row r="288" spans="1:14" ht="15.75" x14ac:dyDescent="0.25">
      <c r="A288">
        <v>286</v>
      </c>
      <c r="B288" s="4" t="s">
        <v>279</v>
      </c>
      <c r="C288" s="5" t="s">
        <v>309</v>
      </c>
      <c r="D288" s="1">
        <v>13130</v>
      </c>
      <c r="E288" s="6">
        <v>150829</v>
      </c>
      <c r="F288" s="6">
        <v>23562</v>
      </c>
      <c r="G288" s="6">
        <v>17323</v>
      </c>
      <c r="H288" s="7">
        <f>G288/F288*100</f>
        <v>73.520923520923517</v>
      </c>
      <c r="I288" s="8">
        <f>G288/(E288/100000)</f>
        <v>11485.191839765563</v>
      </c>
      <c r="J288" s="1">
        <v>1</v>
      </c>
      <c r="K288" s="9">
        <f>I288/100000</f>
        <v>0.11485191839765563</v>
      </c>
      <c r="L288" s="1">
        <v>0.72699999999999998</v>
      </c>
      <c r="M288" s="10">
        <v>0.1087</v>
      </c>
      <c r="N288" s="9">
        <f>0.3328+(0.3351*K288)-(0.3324*L288)+(0.333*M287)</f>
        <v>0.1600016778550544</v>
      </c>
    </row>
    <row r="289" spans="1:14" ht="15.75" x14ac:dyDescent="0.25">
      <c r="A289">
        <v>287</v>
      </c>
      <c r="B289" s="4" t="s">
        <v>279</v>
      </c>
      <c r="C289" s="5" t="s">
        <v>310</v>
      </c>
      <c r="D289" s="1">
        <v>13131</v>
      </c>
      <c r="E289" s="6">
        <v>76002</v>
      </c>
      <c r="F289" s="6">
        <v>12491</v>
      </c>
      <c r="G289" s="6">
        <v>12731</v>
      </c>
      <c r="H289" s="7">
        <f>G289/F289*100</f>
        <v>101.92138339604514</v>
      </c>
      <c r="I289" s="8">
        <f>G289/(E289/100000)</f>
        <v>16750.87497697429</v>
      </c>
      <c r="J289" s="1">
        <v>1</v>
      </c>
      <c r="K289" s="9">
        <f>I289/100000</f>
        <v>0.16750874976974289</v>
      </c>
      <c r="L289" s="1">
        <v>0.54</v>
      </c>
      <c r="M289" s="10">
        <v>0.51929999999999998</v>
      </c>
      <c r="N289" s="9">
        <f>0.3328+(0.3351*K289)-(0.3324*L289)+(0.333*M288)</f>
        <v>0.24563328204784088</v>
      </c>
    </row>
    <row r="290" spans="1:14" ht="15.75" x14ac:dyDescent="0.25">
      <c r="A290">
        <v>288</v>
      </c>
      <c r="B290" s="4" t="s">
        <v>279</v>
      </c>
      <c r="C290" s="5" t="s">
        <v>311</v>
      </c>
      <c r="D290" s="1">
        <v>13132</v>
      </c>
      <c r="E290" s="6">
        <v>86420</v>
      </c>
      <c r="F290" s="6">
        <v>15015</v>
      </c>
      <c r="G290" s="6">
        <v>16627</v>
      </c>
      <c r="H290" s="7">
        <f>G290/F290*100</f>
        <v>110.73593073593074</v>
      </c>
      <c r="I290" s="8">
        <f>G290/(E290/100000)</f>
        <v>19239.759314973388</v>
      </c>
      <c r="J290" s="1">
        <v>1</v>
      </c>
      <c r="K290" s="9">
        <f>I290/100000</f>
        <v>0.19239759314973387</v>
      </c>
      <c r="L290" s="1">
        <v>0.96099999999999997</v>
      </c>
      <c r="M290" s="10">
        <v>0.29830000000000001</v>
      </c>
      <c r="N290" s="9">
        <f>0.3328+(0.3351*K290)-(0.3324*L290)+(0.333*M289)</f>
        <v>0.25076293346447587</v>
      </c>
    </row>
    <row r="291" spans="1:14" ht="15.75" x14ac:dyDescent="0.25">
      <c r="A291">
        <v>289</v>
      </c>
      <c r="B291" s="4" t="s">
        <v>279</v>
      </c>
      <c r="C291" s="5" t="s">
        <v>312</v>
      </c>
      <c r="D291" s="1">
        <v>13201</v>
      </c>
      <c r="E291" s="6">
        <v>568086</v>
      </c>
      <c r="F291" s="6">
        <v>104301</v>
      </c>
      <c r="G291" s="6">
        <v>66606</v>
      </c>
      <c r="H291" s="7">
        <f>G291/F291*100</f>
        <v>63.859406908850346</v>
      </c>
      <c r="I291" s="8">
        <f>G291/(E291/100000)</f>
        <v>11724.633242149956</v>
      </c>
      <c r="J291" s="1">
        <v>1</v>
      </c>
      <c r="K291" s="9">
        <f>I291/100000</f>
        <v>0.11724633242149955</v>
      </c>
      <c r="L291" s="1">
        <v>0.66200000000000003</v>
      </c>
      <c r="M291" s="10">
        <v>0.29970000000000002</v>
      </c>
      <c r="N291" s="9">
        <f>0.3328+(0.3351*K291)-(0.3324*L291)+(0.333*M290)</f>
        <v>0.25137434599444453</v>
      </c>
    </row>
    <row r="292" spans="1:14" ht="15.75" x14ac:dyDescent="0.25">
      <c r="A292">
        <v>290</v>
      </c>
      <c r="B292" s="4" t="s">
        <v>279</v>
      </c>
      <c r="C292" s="5" t="s">
        <v>313</v>
      </c>
      <c r="D292" s="1">
        <v>13202</v>
      </c>
      <c r="E292" s="6">
        <v>29060</v>
      </c>
      <c r="F292" s="6">
        <v>5449</v>
      </c>
      <c r="G292" s="6">
        <v>3994</v>
      </c>
      <c r="H292" s="7">
        <f>G292/F292*100</f>
        <v>73.297852817030645</v>
      </c>
      <c r="I292" s="8">
        <f>G292/(E292/100000)</f>
        <v>13743.977976600136</v>
      </c>
      <c r="J292" s="1">
        <v>2</v>
      </c>
      <c r="K292" s="9">
        <f>I292/100000</f>
        <v>0.13743977976600136</v>
      </c>
      <c r="L292" s="1">
        <v>0.69699999999999995</v>
      </c>
      <c r="M292" s="10">
        <v>0.37319999999999998</v>
      </c>
      <c r="N292" s="9">
        <f>0.3328+(0.3351*K292)-(0.3324*L292)+(0.333*M291)</f>
        <v>0.24697337019958709</v>
      </c>
    </row>
    <row r="293" spans="1:14" ht="15.75" x14ac:dyDescent="0.25">
      <c r="A293">
        <v>291</v>
      </c>
      <c r="B293" s="4" t="s">
        <v>279</v>
      </c>
      <c r="C293" s="5" t="s">
        <v>314</v>
      </c>
      <c r="D293" s="1">
        <v>13203</v>
      </c>
      <c r="E293" s="6">
        <v>17441</v>
      </c>
      <c r="F293" s="6">
        <v>2932</v>
      </c>
      <c r="G293" s="6">
        <v>2761</v>
      </c>
      <c r="H293" s="7">
        <f>G293/F293*100</f>
        <v>94.167803547066853</v>
      </c>
      <c r="I293" s="8">
        <f>G293/(E293/100000)</f>
        <v>15830.514305372397</v>
      </c>
      <c r="J293" s="1">
        <v>4</v>
      </c>
      <c r="K293" s="9">
        <f>I293/100000</f>
        <v>0.15830514305372398</v>
      </c>
      <c r="L293" s="1">
        <v>0.66</v>
      </c>
      <c r="M293" s="10">
        <v>0.2223</v>
      </c>
      <c r="N293" s="9">
        <f>0.3328+(0.3351*K293)-(0.3324*L293)+(0.333*M292)</f>
        <v>0.2907396534373029</v>
      </c>
    </row>
    <row r="294" spans="1:14" ht="15.75" x14ac:dyDescent="0.25">
      <c r="A294">
        <v>292</v>
      </c>
      <c r="B294" s="4" t="s">
        <v>279</v>
      </c>
      <c r="C294" s="5" t="s">
        <v>315</v>
      </c>
      <c r="D294" s="1">
        <v>13301</v>
      </c>
      <c r="E294" s="6">
        <v>173293</v>
      </c>
      <c r="F294" s="6">
        <v>41206</v>
      </c>
      <c r="G294" s="6">
        <v>13246</v>
      </c>
      <c r="H294" s="7">
        <f>G294/F294*100</f>
        <v>32.145804009124888</v>
      </c>
      <c r="I294" s="8">
        <f>G294/(E294/100000)</f>
        <v>7643.7017075127096</v>
      </c>
      <c r="J294" s="1">
        <v>2</v>
      </c>
      <c r="K294" s="9">
        <f>I294/100000</f>
        <v>7.6437017075127095E-2</v>
      </c>
      <c r="L294" s="1">
        <v>0.745</v>
      </c>
      <c r="M294" s="10">
        <v>0.15279999999999999</v>
      </c>
      <c r="N294" s="9">
        <f>0.3328+(0.3351*K294)-(0.3324*L294)+(0.333*M293)</f>
        <v>0.18480194442187511</v>
      </c>
    </row>
    <row r="295" spans="1:14" ht="15.75" x14ac:dyDescent="0.25">
      <c r="A295">
        <v>293</v>
      </c>
      <c r="B295" s="4" t="s">
        <v>279</v>
      </c>
      <c r="C295" s="5" t="s">
        <v>316</v>
      </c>
      <c r="D295" s="1">
        <v>13302</v>
      </c>
      <c r="E295" s="6">
        <v>145160</v>
      </c>
      <c r="F295" s="6">
        <v>35062</v>
      </c>
      <c r="G295" s="6">
        <v>9741</v>
      </c>
      <c r="H295" s="7">
        <f>G295/F295*100</f>
        <v>27.782214363128173</v>
      </c>
      <c r="I295" s="8">
        <f>G295/(E295/100000)</f>
        <v>6710.5263157894733</v>
      </c>
      <c r="J295" s="1">
        <v>2</v>
      </c>
      <c r="K295" s="9">
        <f>I295/100000</f>
        <v>6.7105263157894737E-2</v>
      </c>
      <c r="L295" s="1">
        <v>0.64800000000000002</v>
      </c>
      <c r="M295" s="10">
        <v>0.42580000000000001</v>
      </c>
      <c r="N295" s="9">
        <f>0.3328+(0.3351*K295)-(0.3324*L295)+(0.333*M294)</f>
        <v>0.19077417368421054</v>
      </c>
    </row>
    <row r="296" spans="1:14" ht="15.75" x14ac:dyDescent="0.25">
      <c r="A296">
        <v>294</v>
      </c>
      <c r="B296" s="4" t="s">
        <v>279</v>
      </c>
      <c r="C296" s="5" t="s">
        <v>317</v>
      </c>
      <c r="D296" s="1">
        <v>13303</v>
      </c>
      <c r="E296" s="6">
        <v>19742</v>
      </c>
      <c r="F296" s="6">
        <v>3901</v>
      </c>
      <c r="G296" s="6">
        <v>2707</v>
      </c>
      <c r="H296" s="7">
        <f>G296/F296*100</f>
        <v>69.3924634709049</v>
      </c>
      <c r="I296" s="8">
        <f>G296/(E296/100000)</f>
        <v>13711.883294499037</v>
      </c>
      <c r="J296" s="1">
        <v>4</v>
      </c>
      <c r="K296" s="9">
        <f>I296/100000</f>
        <v>0.13711883294499036</v>
      </c>
      <c r="L296" s="1">
        <v>0.66400000000000003</v>
      </c>
      <c r="M296" s="10">
        <v>0.49759999999999999</v>
      </c>
      <c r="N296" s="9">
        <f>0.3328+(0.3351*K296)-(0.3324*L296)+(0.333*M295)</f>
        <v>0.29982632091986627</v>
      </c>
    </row>
    <row r="297" spans="1:14" ht="15.75" x14ac:dyDescent="0.25">
      <c r="A297">
        <v>295</v>
      </c>
      <c r="B297" s="4" t="s">
        <v>279</v>
      </c>
      <c r="C297" s="5" t="s">
        <v>318</v>
      </c>
      <c r="D297" s="1">
        <v>13401</v>
      </c>
      <c r="E297" s="6">
        <v>306371</v>
      </c>
      <c r="F297" s="6">
        <v>60805</v>
      </c>
      <c r="G297" s="6">
        <v>34684</v>
      </c>
      <c r="H297" s="7">
        <f>G297/F297*100</f>
        <v>57.041361730120876</v>
      </c>
      <c r="I297" s="8">
        <f>G297/(E297/100000)</f>
        <v>11320.914838545425</v>
      </c>
      <c r="J297" s="1">
        <v>1</v>
      </c>
      <c r="K297" s="9">
        <f>I297/100000</f>
        <v>0.11320914838545425</v>
      </c>
      <c r="L297" s="1">
        <v>0.60599999999999998</v>
      </c>
      <c r="M297" s="10">
        <v>0.17469999999999999</v>
      </c>
      <c r="N297" s="9">
        <f>0.3328+(0.3351*K297)-(0.3324*L297)+(0.333*M296)</f>
        <v>0.33500278562396574</v>
      </c>
    </row>
    <row r="298" spans="1:14" ht="15.75" x14ac:dyDescent="0.25">
      <c r="A298">
        <v>296</v>
      </c>
      <c r="B298" s="4" t="s">
        <v>279</v>
      </c>
      <c r="C298" s="5" t="s">
        <v>319</v>
      </c>
      <c r="D298" s="1">
        <v>13402</v>
      </c>
      <c r="E298" s="6">
        <v>116969</v>
      </c>
      <c r="F298" s="6">
        <v>24919</v>
      </c>
      <c r="G298" s="6">
        <v>12127</v>
      </c>
      <c r="H298" s="7">
        <f>G298/F298*100</f>
        <v>48.665676792808696</v>
      </c>
      <c r="I298" s="8">
        <f>G298/(E298/100000)</f>
        <v>10367.704263522815</v>
      </c>
      <c r="J298" s="1">
        <v>2</v>
      </c>
      <c r="K298" s="9">
        <f>I298/100000</f>
        <v>0.10367704263522816</v>
      </c>
      <c r="L298" s="1">
        <v>0.65500000000000003</v>
      </c>
      <c r="M298" s="10">
        <v>0.15620000000000001</v>
      </c>
      <c r="N298" s="9">
        <f>0.3328+(0.3351*K298)-(0.3324*L298)+(0.333*M297)</f>
        <v>0.20799527698706494</v>
      </c>
    </row>
    <row r="299" spans="1:14" ht="15.75" x14ac:dyDescent="0.25">
      <c r="A299">
        <v>297</v>
      </c>
      <c r="B299" s="4" t="s">
        <v>279</v>
      </c>
      <c r="C299" s="5" t="s">
        <v>320</v>
      </c>
      <c r="D299" s="1">
        <v>13403</v>
      </c>
      <c r="E299" s="6">
        <v>25491</v>
      </c>
      <c r="F299" s="6">
        <v>4593</v>
      </c>
      <c r="G299" s="6">
        <v>3435</v>
      </c>
      <c r="H299" s="7">
        <f>G299/F299*100</f>
        <v>74.787720444154147</v>
      </c>
      <c r="I299" s="8">
        <f>G299/(E299/100000)</f>
        <v>13475.344239143225</v>
      </c>
      <c r="J299" s="1">
        <v>4</v>
      </c>
      <c r="K299" s="9">
        <f>I299/100000</f>
        <v>0.13475344239143225</v>
      </c>
      <c r="L299" s="1">
        <v>0.69899999999999995</v>
      </c>
      <c r="M299" s="10">
        <v>0.30209999999999998</v>
      </c>
      <c r="N299" s="9">
        <f>0.3328+(0.3351*K299)-(0.3324*L299)+(0.333*M298)</f>
        <v>0.19762287854536897</v>
      </c>
    </row>
    <row r="300" spans="1:14" ht="15.75" x14ac:dyDescent="0.25">
      <c r="A300">
        <v>298</v>
      </c>
      <c r="B300" s="4" t="s">
        <v>279</v>
      </c>
      <c r="C300" s="5" t="s">
        <v>321</v>
      </c>
      <c r="D300" s="1">
        <v>13404</v>
      </c>
      <c r="E300" s="6">
        <v>78828</v>
      </c>
      <c r="F300" s="6">
        <v>15339</v>
      </c>
      <c r="G300" s="6">
        <v>10078</v>
      </c>
      <c r="H300" s="7">
        <f>G300/F300*100</f>
        <v>65.70180585435817</v>
      </c>
      <c r="I300" s="8">
        <f>G300/(E300/100000)</f>
        <v>12784.79728015426</v>
      </c>
      <c r="J300" s="1">
        <v>4</v>
      </c>
      <c r="K300" s="9">
        <f>I300/100000</f>
        <v>0.12784797280154261</v>
      </c>
      <c r="L300" s="1">
        <v>0.59799999999999998</v>
      </c>
      <c r="M300" s="10">
        <v>7.6800000000000007E-2</v>
      </c>
      <c r="N300" s="9">
        <f>0.3328+(0.3351*K300)-(0.3324*L300)+(0.333*M299)</f>
        <v>0.27746595568579691</v>
      </c>
    </row>
    <row r="301" spans="1:14" ht="15.75" x14ac:dyDescent="0.25">
      <c r="A301">
        <v>299</v>
      </c>
      <c r="B301" s="4" t="s">
        <v>279</v>
      </c>
      <c r="C301" s="5" t="s">
        <v>322</v>
      </c>
      <c r="D301" s="1">
        <v>13501</v>
      </c>
      <c r="E301" s="6">
        <v>136325</v>
      </c>
      <c r="F301" s="6">
        <v>26419</v>
      </c>
      <c r="G301" s="6">
        <v>19311</v>
      </c>
      <c r="H301" s="7">
        <f>G301/F301*100</f>
        <v>73.095120935690232</v>
      </c>
      <c r="I301" s="8">
        <f>G301/(E301/100000)</f>
        <v>14165.413533834586</v>
      </c>
      <c r="J301" s="1">
        <v>4</v>
      </c>
      <c r="K301" s="9">
        <f>I301/100000</f>
        <v>0.14165413533834587</v>
      </c>
      <c r="L301" s="1">
        <v>0.57299999999999995</v>
      </c>
      <c r="M301" s="10">
        <v>0.15659999999999999</v>
      </c>
      <c r="N301" s="9">
        <f>0.3328+(0.3351*K301)-(0.3324*L301)+(0.333*M300)</f>
        <v>0.2153775007518797</v>
      </c>
    </row>
    <row r="302" spans="1:14" ht="15.75" x14ac:dyDescent="0.25">
      <c r="A302">
        <v>300</v>
      </c>
      <c r="B302" s="4" t="s">
        <v>279</v>
      </c>
      <c r="C302" s="5" t="s">
        <v>323</v>
      </c>
      <c r="D302" s="1">
        <v>13502</v>
      </c>
      <c r="E302" s="6">
        <v>7768</v>
      </c>
      <c r="F302" s="6">
        <v>1611</v>
      </c>
      <c r="G302" s="6">
        <v>1011</v>
      </c>
      <c r="H302" s="7">
        <f>G302/F302*100</f>
        <v>62.756052141526993</v>
      </c>
      <c r="I302" s="8">
        <f>G302/(E302/100000)</f>
        <v>13014.933058702369</v>
      </c>
      <c r="J302" s="1">
        <v>4</v>
      </c>
      <c r="K302" s="9">
        <f>I302/100000</f>
        <v>0.13014933058702369</v>
      </c>
      <c r="L302" s="1">
        <v>0.6</v>
      </c>
      <c r="M302" s="10">
        <v>0.1729</v>
      </c>
      <c r="N302" s="9">
        <f>0.3328+(0.3351*K302)-(0.3324*L302)+(0.333*M301)</f>
        <v>0.22912084067971161</v>
      </c>
    </row>
    <row r="303" spans="1:14" ht="15.75" x14ac:dyDescent="0.25">
      <c r="A303">
        <v>301</v>
      </c>
      <c r="B303" s="4" t="s">
        <v>279</v>
      </c>
      <c r="C303" s="5" t="s">
        <v>324</v>
      </c>
      <c r="D303" s="1">
        <v>13503</v>
      </c>
      <c r="E303" s="6">
        <v>35165</v>
      </c>
      <c r="F303" s="6">
        <v>6456</v>
      </c>
      <c r="G303" s="6">
        <v>5310</v>
      </c>
      <c r="H303" s="7">
        <f>G303/F303*100</f>
        <v>82.249070631970255</v>
      </c>
      <c r="I303" s="8">
        <f>G303/(E303/100000)</f>
        <v>15100.241717616947</v>
      </c>
      <c r="J303" s="1">
        <v>4</v>
      </c>
      <c r="K303" s="9">
        <f>I303/100000</f>
        <v>0.15100241717616947</v>
      </c>
      <c r="L303" s="1">
        <v>0.61799999999999999</v>
      </c>
      <c r="M303" s="10">
        <v>0.23760000000000001</v>
      </c>
      <c r="N303" s="9">
        <f>0.3328+(0.3351*K303)-(0.3324*L303)+(0.333*M302)</f>
        <v>0.23555340999573443</v>
      </c>
    </row>
    <row r="304" spans="1:14" ht="15.75" x14ac:dyDescent="0.25">
      <c r="A304">
        <v>302</v>
      </c>
      <c r="B304" s="4" t="s">
        <v>279</v>
      </c>
      <c r="C304" s="5" t="s">
        <v>325</v>
      </c>
      <c r="D304" s="1">
        <v>13504</v>
      </c>
      <c r="E304" s="6">
        <v>15352</v>
      </c>
      <c r="F304" s="6">
        <v>2900</v>
      </c>
      <c r="G304" s="6">
        <v>2366</v>
      </c>
      <c r="H304" s="7">
        <f>G304/F304*100</f>
        <v>81.58620689655173</v>
      </c>
      <c r="I304" s="8">
        <f>G304/(E304/100000)</f>
        <v>15411.672746221991</v>
      </c>
      <c r="J304" s="1">
        <v>5</v>
      </c>
      <c r="K304" s="9">
        <f>I304/100000</f>
        <v>0.15411672746221991</v>
      </c>
      <c r="L304" s="1">
        <v>0.60699999999999998</v>
      </c>
      <c r="M304" s="10">
        <v>0.40210000000000001</v>
      </c>
      <c r="N304" s="9">
        <f>0.3328+(0.3351*K304)-(0.3324*L304)+(0.333*M303)</f>
        <v>0.26179851537258991</v>
      </c>
    </row>
    <row r="305" spans="1:14" ht="15.75" x14ac:dyDescent="0.25">
      <c r="A305">
        <v>303</v>
      </c>
      <c r="B305" s="4" t="s">
        <v>279</v>
      </c>
      <c r="C305" s="5" t="s">
        <v>326</v>
      </c>
      <c r="D305" s="1">
        <v>13505</v>
      </c>
      <c r="E305" s="6">
        <v>11108</v>
      </c>
      <c r="F305" s="6">
        <v>2134</v>
      </c>
      <c r="G305" s="6">
        <v>1891</v>
      </c>
      <c r="H305" s="7">
        <f>G305/F305*100</f>
        <v>88.612933458294279</v>
      </c>
      <c r="I305" s="8">
        <f>G305/(E305/100000)</f>
        <v>17023.766654663305</v>
      </c>
      <c r="J305" s="1">
        <v>5</v>
      </c>
      <c r="K305" s="9">
        <f>I305/100000</f>
        <v>0.17023766654663305</v>
      </c>
      <c r="L305" s="1">
        <v>0.53400000000000003</v>
      </c>
      <c r="M305" s="10">
        <v>0.31879999999999997</v>
      </c>
      <c r="N305" s="9">
        <f>0.3328+(0.3351*K305)-(0.3324*L305)+(0.333*M304)</f>
        <v>0.34624434205977672</v>
      </c>
    </row>
    <row r="306" spans="1:14" ht="15.75" x14ac:dyDescent="0.25">
      <c r="A306">
        <v>304</v>
      </c>
      <c r="B306" s="4" t="s">
        <v>279</v>
      </c>
      <c r="C306" s="5" t="s">
        <v>327</v>
      </c>
      <c r="D306" s="1">
        <v>13601</v>
      </c>
      <c r="E306" s="6">
        <v>76429</v>
      </c>
      <c r="F306" s="6">
        <v>14473</v>
      </c>
      <c r="G306" s="6">
        <v>9877</v>
      </c>
      <c r="H306" s="7">
        <f>G306/F306*100</f>
        <v>68.244317004076564</v>
      </c>
      <c r="I306" s="8">
        <f>G306/(E306/100000)</f>
        <v>12923.105104083528</v>
      </c>
      <c r="J306" s="1">
        <v>2</v>
      </c>
      <c r="K306" s="9">
        <f>I306/100000</f>
        <v>0.12923105104083529</v>
      </c>
      <c r="L306" s="1">
        <v>0.65</v>
      </c>
      <c r="M306" s="10">
        <v>0.2387</v>
      </c>
      <c r="N306" s="9">
        <f>0.3328+(0.3351*K306)-(0.3324*L306)+(0.333*M305)</f>
        <v>0.26620572520378388</v>
      </c>
    </row>
    <row r="307" spans="1:14" ht="16.5" thickBot="1" x14ac:dyDescent="0.3">
      <c r="A307">
        <v>305</v>
      </c>
      <c r="B307" s="4" t="s">
        <v>279</v>
      </c>
      <c r="C307" s="5" t="s">
        <v>328</v>
      </c>
      <c r="D307" s="12">
        <v>13602</v>
      </c>
      <c r="E307" s="6">
        <v>37497</v>
      </c>
      <c r="F307" s="6">
        <v>7528</v>
      </c>
      <c r="G307" s="6">
        <v>5011</v>
      </c>
      <c r="H307" s="7">
        <f>G307/F307*100</f>
        <v>66.56482465462274</v>
      </c>
      <c r="I307" s="8">
        <f>G307/(E307/100000)</f>
        <v>13363.735765527908</v>
      </c>
      <c r="J307" s="1">
        <v>3</v>
      </c>
      <c r="K307" s="9">
        <f>I307/100000</f>
        <v>0.13363735765527909</v>
      </c>
      <c r="L307" s="1">
        <v>0.59399999999999997</v>
      </c>
      <c r="M307" s="10">
        <v>0.62930000000000008</v>
      </c>
      <c r="N307" s="9">
        <f>0.3328+(0.3351*K307)-(0.3324*L307)+(0.333*M306)</f>
        <v>0.25962337855028406</v>
      </c>
    </row>
    <row r="308" spans="1:14" ht="16.5" thickTop="1" x14ac:dyDescent="0.25">
      <c r="A308">
        <v>306</v>
      </c>
      <c r="B308" s="4" t="s">
        <v>279</v>
      </c>
      <c r="C308" s="5" t="s">
        <v>329</v>
      </c>
      <c r="D308" s="1">
        <v>13603</v>
      </c>
      <c r="E308" s="6">
        <v>39274</v>
      </c>
      <c r="F308" s="6">
        <v>7507</v>
      </c>
      <c r="G308" s="6">
        <v>5152</v>
      </c>
      <c r="H308" s="7">
        <f>G308/F308*100</f>
        <v>68.629279339283329</v>
      </c>
      <c r="I308" s="8">
        <f>G308/(E308/100000)</f>
        <v>13118.093395121456</v>
      </c>
      <c r="J308" s="1">
        <v>4</v>
      </c>
      <c r="K308" s="9">
        <f>I308/100000</f>
        <v>0.13118093395121455</v>
      </c>
      <c r="L308" s="1">
        <v>0.628</v>
      </c>
      <c r="M308" s="10">
        <v>0.441</v>
      </c>
      <c r="N308" s="9">
        <f>0.3328+(0.3351*K308)-(0.3324*L308)+(0.333*M307)</f>
        <v>0.37756843096705206</v>
      </c>
    </row>
    <row r="309" spans="1:14" ht="15.75" x14ac:dyDescent="0.25">
      <c r="A309">
        <v>307</v>
      </c>
      <c r="B309" s="4" t="s">
        <v>279</v>
      </c>
      <c r="C309" s="5" t="s">
        <v>330</v>
      </c>
      <c r="D309" s="1">
        <v>13604</v>
      </c>
      <c r="E309" s="6">
        <v>81243</v>
      </c>
      <c r="F309" s="6">
        <v>17481</v>
      </c>
      <c r="G309" s="6">
        <v>7779</v>
      </c>
      <c r="H309" s="7">
        <f>G309/F309*100</f>
        <v>44.499742577655745</v>
      </c>
      <c r="I309" s="8">
        <f>G309/(E309/100000)</f>
        <v>9574.9787674014988</v>
      </c>
      <c r="J309" s="1">
        <v>2</v>
      </c>
      <c r="K309" s="9">
        <f>I309/100000</f>
        <v>9.5749787674014986E-2</v>
      </c>
      <c r="L309" s="1">
        <v>0.65500000000000003</v>
      </c>
      <c r="M309" s="10">
        <v>0.53800000000000003</v>
      </c>
      <c r="N309" s="9">
        <f>0.3328+(0.3351*K309)-(0.3324*L309)+(0.333*M308)</f>
        <v>0.29401675384956238</v>
      </c>
    </row>
    <row r="310" spans="1:14" ht="15.75" x14ac:dyDescent="0.25">
      <c r="A310">
        <v>308</v>
      </c>
      <c r="B310" s="4" t="s">
        <v>279</v>
      </c>
      <c r="C310" s="5" t="s">
        <v>331</v>
      </c>
      <c r="D310" s="1">
        <v>13605</v>
      </c>
      <c r="E310" s="6">
        <v>94402</v>
      </c>
      <c r="F310" s="6">
        <v>17745</v>
      </c>
      <c r="G310" s="6">
        <v>12048</v>
      </c>
      <c r="H310" s="7">
        <f>G310/F310*100</f>
        <v>67.895181741335591</v>
      </c>
      <c r="I310" s="8">
        <f>G310/(E310/100000)</f>
        <v>12762.441473697592</v>
      </c>
      <c r="J310" s="1">
        <v>2</v>
      </c>
      <c r="K310" s="9">
        <f>I310/100000</f>
        <v>0.12762441473697592</v>
      </c>
      <c r="L310" s="1">
        <v>0.66100000000000003</v>
      </c>
      <c r="M310" s="10">
        <v>0.33500000000000002</v>
      </c>
      <c r="N310" s="9">
        <f>0.3328+(0.3351*K310)-(0.3324*L310)+(0.333*M309)</f>
        <v>0.33500454137836061</v>
      </c>
    </row>
    <row r="311" spans="1:14" ht="15.75" x14ac:dyDescent="0.25">
      <c r="A311">
        <v>309</v>
      </c>
      <c r="B311" s="4" t="s">
        <v>332</v>
      </c>
      <c r="C311" s="5" t="s">
        <v>333</v>
      </c>
      <c r="D311" s="1">
        <v>14101</v>
      </c>
      <c r="E311" s="6">
        <v>170043</v>
      </c>
      <c r="F311" s="6">
        <v>27477</v>
      </c>
      <c r="G311" s="6">
        <v>24172</v>
      </c>
      <c r="H311" s="7">
        <f>G311/F311*100</f>
        <v>87.971758197765411</v>
      </c>
      <c r="I311" s="8">
        <f>G311/(E311/100000)</f>
        <v>14215.227912939667</v>
      </c>
      <c r="J311" s="1">
        <v>2</v>
      </c>
      <c r="K311" s="9">
        <f>I311/100000</f>
        <v>0.14215227912939665</v>
      </c>
      <c r="L311" s="1">
        <v>0.67800000000000005</v>
      </c>
      <c r="M311" s="10">
        <v>0.17449999999999999</v>
      </c>
      <c r="N311" s="9">
        <f>0.3328+(0.3351*K311)-(0.3324*L311)+(0.333*M310)</f>
        <v>0.26662302873626081</v>
      </c>
    </row>
    <row r="312" spans="1:14" ht="15.75" x14ac:dyDescent="0.25">
      <c r="A312">
        <v>310</v>
      </c>
      <c r="B312" s="4" t="s">
        <v>332</v>
      </c>
      <c r="C312" s="5" t="s">
        <v>334</v>
      </c>
      <c r="D312" s="1">
        <v>14102</v>
      </c>
      <c r="E312" s="6">
        <v>5501</v>
      </c>
      <c r="F312" s="6">
        <v>865</v>
      </c>
      <c r="G312" s="6">
        <v>1048</v>
      </c>
      <c r="H312" s="7">
        <f>G312/F312*100</f>
        <v>121.15606936416185</v>
      </c>
      <c r="I312" s="8">
        <f>G312/(E312/100000)</f>
        <v>19051.081621523357</v>
      </c>
      <c r="J312" s="1">
        <v>5</v>
      </c>
      <c r="K312" s="9">
        <f>I312/100000</f>
        <v>0.19051081621523358</v>
      </c>
      <c r="L312" s="1">
        <v>0.50700000000000001</v>
      </c>
      <c r="M312" s="10">
        <v>0.25440000000000002</v>
      </c>
      <c r="N312" s="9">
        <f>0.3328+(0.3351*K312)-(0.3324*L312)+(0.333*M311)</f>
        <v>0.28622187451372477</v>
      </c>
    </row>
    <row r="313" spans="1:14" ht="15.75" x14ac:dyDescent="0.25">
      <c r="A313">
        <v>311</v>
      </c>
      <c r="B313" s="4" t="s">
        <v>332</v>
      </c>
      <c r="C313" s="5" t="s">
        <v>335</v>
      </c>
      <c r="D313" s="1">
        <v>14103</v>
      </c>
      <c r="E313" s="6">
        <v>16876</v>
      </c>
      <c r="F313" s="6">
        <v>3060</v>
      </c>
      <c r="G313" s="6">
        <v>2723</v>
      </c>
      <c r="H313" s="7">
        <f>G313/F313*100</f>
        <v>88.986928104575156</v>
      </c>
      <c r="I313" s="8">
        <f>G313/(E313/100000)</f>
        <v>16135.340127992416</v>
      </c>
      <c r="J313" s="1">
        <v>3</v>
      </c>
      <c r="K313" s="9">
        <f>I313/100000</f>
        <v>0.16135340127992417</v>
      </c>
      <c r="L313" s="1">
        <v>0.53</v>
      </c>
      <c r="M313" s="10">
        <v>0.15840000000000001</v>
      </c>
      <c r="N313" s="9">
        <f>0.3328+(0.3351*K313)-(0.3324*L313)+(0.333*M312)</f>
        <v>0.29541272476890257</v>
      </c>
    </row>
    <row r="314" spans="1:14" ht="15.75" x14ac:dyDescent="0.25">
      <c r="A314">
        <v>312</v>
      </c>
      <c r="B314" s="4" t="s">
        <v>332</v>
      </c>
      <c r="C314" s="5" t="s">
        <v>226</v>
      </c>
      <c r="D314" s="1">
        <v>14104</v>
      </c>
      <c r="E314" s="6">
        <v>21431</v>
      </c>
      <c r="F314" s="6">
        <v>3900</v>
      </c>
      <c r="G314" s="6">
        <v>3368</v>
      </c>
      <c r="H314" s="7">
        <f>G314/F314*100</f>
        <v>86.358974358974365</v>
      </c>
      <c r="I314" s="8">
        <f>G314/(E314/100000)</f>
        <v>15715.552237413092</v>
      </c>
      <c r="J314" s="1">
        <v>4</v>
      </c>
      <c r="K314" s="9">
        <f>I314/100000</f>
        <v>0.15715552237413091</v>
      </c>
      <c r="L314" s="1">
        <v>0.51200000000000001</v>
      </c>
      <c r="M314" s="10">
        <v>0.1168</v>
      </c>
      <c r="N314" s="9">
        <f>0.3328+(0.3351*K314)-(0.3324*L314)+(0.333*M313)</f>
        <v>0.26802121554757125</v>
      </c>
    </row>
    <row r="315" spans="1:14" ht="15.75" x14ac:dyDescent="0.25">
      <c r="A315">
        <v>313</v>
      </c>
      <c r="B315" s="4" t="s">
        <v>332</v>
      </c>
      <c r="C315" s="5" t="s">
        <v>336</v>
      </c>
      <c r="D315" s="1">
        <v>14105</v>
      </c>
      <c r="E315" s="6">
        <v>8074</v>
      </c>
      <c r="F315" s="6">
        <v>1441</v>
      </c>
      <c r="G315" s="6">
        <v>1319</v>
      </c>
      <c r="H315" s="7">
        <f>G315/F315*100</f>
        <v>91.533657182512144</v>
      </c>
      <c r="I315" s="8">
        <f>G315/(E315/100000)</f>
        <v>16336.388407233093</v>
      </c>
      <c r="J315" s="1">
        <v>4</v>
      </c>
      <c r="K315" s="9">
        <f>I315/100000</f>
        <v>0.16336388407233093</v>
      </c>
      <c r="L315" s="1">
        <v>0.53800000000000003</v>
      </c>
      <c r="M315" s="10">
        <v>0.30759999999999998</v>
      </c>
      <c r="N315" s="9">
        <f>0.3328+(0.3351*K315)-(0.3324*L315)+(0.333*M314)</f>
        <v>0.24760643755263809</v>
      </c>
    </row>
    <row r="316" spans="1:14" ht="15.75" x14ac:dyDescent="0.25">
      <c r="A316">
        <v>314</v>
      </c>
      <c r="B316" s="4" t="s">
        <v>332</v>
      </c>
      <c r="C316" s="5" t="s">
        <v>337</v>
      </c>
      <c r="D316" s="1">
        <v>14106</v>
      </c>
      <c r="E316" s="6">
        <v>22973</v>
      </c>
      <c r="F316" s="6">
        <v>4578</v>
      </c>
      <c r="G316" s="6">
        <v>3286</v>
      </c>
      <c r="H316" s="7">
        <f>G316/F316*100</f>
        <v>71.778069025775451</v>
      </c>
      <c r="I316" s="8">
        <f>G316/(E316/100000)</f>
        <v>14303.747877943673</v>
      </c>
      <c r="J316" s="1">
        <v>4</v>
      </c>
      <c r="K316" s="9">
        <f>I316/100000</f>
        <v>0.14303747877943673</v>
      </c>
      <c r="L316" s="1">
        <v>0.51600000000000001</v>
      </c>
      <c r="M316" s="10">
        <v>0.29289999999999999</v>
      </c>
      <c r="N316" s="9">
        <f>0.3328+(0.3351*K316)-(0.3324*L316)+(0.333*M315)</f>
        <v>0.31164425913898924</v>
      </c>
    </row>
    <row r="317" spans="1:14" ht="15.75" x14ac:dyDescent="0.25">
      <c r="A317">
        <v>315</v>
      </c>
      <c r="B317" s="4" t="s">
        <v>332</v>
      </c>
      <c r="C317" s="5" t="s">
        <v>338</v>
      </c>
      <c r="D317" s="1">
        <v>14107</v>
      </c>
      <c r="E317" s="6">
        <v>19802</v>
      </c>
      <c r="F317" s="6">
        <v>3481</v>
      </c>
      <c r="G317" s="6">
        <v>3450</v>
      </c>
      <c r="H317" s="7">
        <f>G317/F317*100</f>
        <v>99.109451307095668</v>
      </c>
      <c r="I317" s="8">
        <f>G317/(E317/100000)</f>
        <v>17422.482577517421</v>
      </c>
      <c r="J317" s="1">
        <v>4</v>
      </c>
      <c r="K317" s="9">
        <f>I317/100000</f>
        <v>0.1742248257751742</v>
      </c>
      <c r="L317" s="1">
        <v>0.52900000000000003</v>
      </c>
      <c r="M317" s="10">
        <v>0.2286</v>
      </c>
      <c r="N317" s="9">
        <f>0.3328+(0.3351*K317)-(0.3324*L317)+(0.333*M316)</f>
        <v>0.31287883911726089</v>
      </c>
    </row>
    <row r="318" spans="1:14" ht="15.75" x14ac:dyDescent="0.25">
      <c r="A318">
        <v>316</v>
      </c>
      <c r="B318" s="4" t="s">
        <v>332</v>
      </c>
      <c r="C318" s="5" t="s">
        <v>339</v>
      </c>
      <c r="D318" s="1">
        <v>14108</v>
      </c>
      <c r="E318" s="6">
        <v>35098</v>
      </c>
      <c r="F318" s="6">
        <v>6532</v>
      </c>
      <c r="G318" s="6">
        <v>5477</v>
      </c>
      <c r="H318" s="7">
        <f>G318/F318*100</f>
        <v>83.848744641763631</v>
      </c>
      <c r="I318" s="8">
        <f>G318/(E318/100000)</f>
        <v>15604.877770813151</v>
      </c>
      <c r="J318" s="1">
        <v>5</v>
      </c>
      <c r="K318" s="9">
        <f>I318/100000</f>
        <v>0.1560487777081315</v>
      </c>
      <c r="L318" s="1">
        <v>0.48199999999999998</v>
      </c>
      <c r="M318" s="10">
        <v>0.21290000000000001</v>
      </c>
      <c r="N318" s="9">
        <f>0.3328+(0.3351*K318)-(0.3324*L318)+(0.333*M317)</f>
        <v>0.30099894540999489</v>
      </c>
    </row>
    <row r="319" spans="1:14" ht="15.75" x14ac:dyDescent="0.25">
      <c r="A319">
        <v>317</v>
      </c>
      <c r="B319" s="4" t="s">
        <v>332</v>
      </c>
      <c r="C319" s="5" t="s">
        <v>340</v>
      </c>
      <c r="D319" s="1">
        <v>14201</v>
      </c>
      <c r="E319" s="6">
        <v>38907</v>
      </c>
      <c r="F319" s="6">
        <v>6718</v>
      </c>
      <c r="G319" s="6">
        <v>6501</v>
      </c>
      <c r="H319" s="7">
        <f>G319/F319*100</f>
        <v>96.769871985710026</v>
      </c>
      <c r="I319" s="8">
        <f>G319/(E319/100000)</f>
        <v>16709.075487701441</v>
      </c>
      <c r="J319" s="1">
        <v>4</v>
      </c>
      <c r="K319" s="9">
        <f>I319/100000</f>
        <v>0.16709075487701441</v>
      </c>
      <c r="L319" s="1">
        <v>0.57899999999999996</v>
      </c>
      <c r="M319" s="10">
        <v>0.1862</v>
      </c>
      <c r="N319" s="9">
        <f>0.3328+(0.3351*K319)-(0.3324*L319)+(0.333*M318)</f>
        <v>0.26722821195928759</v>
      </c>
    </row>
    <row r="320" spans="1:14" ht="15.75" x14ac:dyDescent="0.25">
      <c r="A320">
        <v>318</v>
      </c>
      <c r="B320" s="4" t="s">
        <v>332</v>
      </c>
      <c r="C320" s="5" t="s">
        <v>341</v>
      </c>
      <c r="D320" s="1">
        <v>14202</v>
      </c>
      <c r="E320" s="6">
        <v>15635</v>
      </c>
      <c r="F320" s="6">
        <v>3136</v>
      </c>
      <c r="G320" s="6">
        <v>2277</v>
      </c>
      <c r="H320" s="7">
        <f>G320/F320*100</f>
        <v>72.608418367346943</v>
      </c>
      <c r="I320" s="8">
        <f>G320/(E320/100000)</f>
        <v>14563.479373201153</v>
      </c>
      <c r="J320" s="1">
        <v>4</v>
      </c>
      <c r="K320" s="9">
        <f>I320/100000</f>
        <v>0.14563479373201152</v>
      </c>
      <c r="L320" s="1">
        <v>0.49299999999999999</v>
      </c>
      <c r="M320" s="10">
        <v>0.25109999999999999</v>
      </c>
      <c r="N320" s="9">
        <f>0.3328+(0.3351*K320)-(0.3324*L320)+(0.333*M319)</f>
        <v>0.27973361937959706</v>
      </c>
    </row>
    <row r="321" spans="1:14" ht="15.75" x14ac:dyDescent="0.25">
      <c r="A321">
        <v>319</v>
      </c>
      <c r="B321" s="4" t="s">
        <v>332</v>
      </c>
      <c r="C321" s="5" t="s">
        <v>342</v>
      </c>
      <c r="D321" s="1">
        <v>14203</v>
      </c>
      <c r="E321" s="6">
        <v>10527</v>
      </c>
      <c r="F321" s="6">
        <v>1902</v>
      </c>
      <c r="G321" s="6">
        <v>1825</v>
      </c>
      <c r="H321" s="7">
        <f>G321/F321*100</f>
        <v>95.95162986330179</v>
      </c>
      <c r="I321" s="8">
        <f>G321/(E321/100000)</f>
        <v>17336.373135746177</v>
      </c>
      <c r="J321" s="1">
        <v>5</v>
      </c>
      <c r="K321" s="9">
        <f>I321/100000</f>
        <v>0.17336373135746178</v>
      </c>
      <c r="L321" s="1">
        <v>0.45900000000000002</v>
      </c>
      <c r="M321" s="10">
        <v>0.43190000000000001</v>
      </c>
      <c r="N321" s="9">
        <f>0.3328+(0.3351*K321)-(0.3324*L321)+(0.333*M320)</f>
        <v>0.32193888637788542</v>
      </c>
    </row>
    <row r="322" spans="1:14" ht="15.75" x14ac:dyDescent="0.25">
      <c r="A322">
        <v>320</v>
      </c>
      <c r="B322" s="4" t="s">
        <v>332</v>
      </c>
      <c r="C322" s="5" t="s">
        <v>343</v>
      </c>
      <c r="D322" s="1">
        <v>14204</v>
      </c>
      <c r="E322" s="6">
        <v>33363</v>
      </c>
      <c r="F322" s="6">
        <v>5622</v>
      </c>
      <c r="G322" s="6">
        <v>5841</v>
      </c>
      <c r="H322" s="7">
        <f>G322/F322*100</f>
        <v>103.89541088580576</v>
      </c>
      <c r="I322" s="8">
        <f>G322/(E322/100000)</f>
        <v>17507.418397626112</v>
      </c>
      <c r="J322" s="1">
        <v>3</v>
      </c>
      <c r="K322" s="9">
        <f>I322/100000</f>
        <v>0.17507418397626112</v>
      </c>
      <c r="L322" s="1">
        <v>0.623</v>
      </c>
      <c r="M322" s="10">
        <v>0.2306</v>
      </c>
      <c r="N322" s="9">
        <f>0.3328+(0.3351*K322)-(0.3324*L322)+(0.333*M321)</f>
        <v>0.32820485905044516</v>
      </c>
    </row>
    <row r="323" spans="1:14" ht="15.75" x14ac:dyDescent="0.25">
      <c r="A323">
        <v>321</v>
      </c>
      <c r="B323" s="1" t="s">
        <v>344</v>
      </c>
      <c r="C323" s="5" t="s">
        <v>345</v>
      </c>
      <c r="D323" s="1">
        <v>15101</v>
      </c>
      <c r="E323" s="6">
        <v>241653</v>
      </c>
      <c r="F323" s="6">
        <v>47551</v>
      </c>
      <c r="G323" s="6">
        <v>30636</v>
      </c>
      <c r="H323" s="7">
        <f>G323/F323*100</f>
        <v>64.427667136337831</v>
      </c>
      <c r="I323" s="8">
        <f>G323/(E323/100000)</f>
        <v>12677.682462042681</v>
      </c>
      <c r="J323" s="1">
        <v>2</v>
      </c>
      <c r="K323" s="9">
        <f>I323/100000</f>
        <v>0.1267768246204268</v>
      </c>
      <c r="L323" s="1">
        <v>0.66300000000000003</v>
      </c>
      <c r="M323" s="10">
        <v>0.14510000000000001</v>
      </c>
      <c r="N323" s="9">
        <f>0.3328+(0.3351*K323)-(0.3324*L323)+(0.333*M322)</f>
        <v>0.23169151393030502</v>
      </c>
    </row>
    <row r="324" spans="1:14" ht="15.75" x14ac:dyDescent="0.25">
      <c r="A324">
        <v>322</v>
      </c>
      <c r="B324" s="1" t="s">
        <v>344</v>
      </c>
      <c r="C324" s="5" t="s">
        <v>346</v>
      </c>
      <c r="D324" s="1">
        <v>15102</v>
      </c>
      <c r="E324" s="6">
        <v>861</v>
      </c>
      <c r="F324" s="6">
        <v>106</v>
      </c>
      <c r="G324" s="6">
        <v>228</v>
      </c>
      <c r="H324" s="7">
        <f>G324/F324*100</f>
        <v>215.09433962264151</v>
      </c>
      <c r="I324" s="8">
        <f>G324/(E324/100000)</f>
        <v>26480.836236933799</v>
      </c>
      <c r="J324" s="1">
        <v>5</v>
      </c>
      <c r="K324" s="9">
        <f>I324/100000</f>
        <v>0.26480836236933797</v>
      </c>
      <c r="L324" s="1">
        <v>0.57999999999999996</v>
      </c>
      <c r="M324" s="10">
        <v>0.47220000000000001</v>
      </c>
      <c r="N324" s="9">
        <f>0.3328+(0.3351*K324)-(0.3324*L324)+(0.333*M323)</f>
        <v>0.27706358222996513</v>
      </c>
    </row>
    <row r="325" spans="1:14" ht="16.5" hidden="1" thickBot="1" x14ac:dyDescent="0.3">
      <c r="A325">
        <v>323</v>
      </c>
      <c r="B325" s="1" t="s">
        <v>344</v>
      </c>
      <c r="C325" s="5" t="s">
        <v>347</v>
      </c>
      <c r="D325" s="12">
        <v>15201</v>
      </c>
      <c r="E325" s="6">
        <v>1547</v>
      </c>
      <c r="F325" s="6">
        <v>250</v>
      </c>
      <c r="G325" s="6">
        <v>256</v>
      </c>
      <c r="H325" s="7">
        <f>G325/F325*100</f>
        <v>102.4</v>
      </c>
      <c r="I325" s="8">
        <f>G325/(E325/100000)</f>
        <v>16548.157724628312</v>
      </c>
      <c r="J325" s="1">
        <v>5</v>
      </c>
      <c r="K325" s="9">
        <f>I325/100000</f>
        <v>0.16548157724628312</v>
      </c>
      <c r="L325" s="1"/>
      <c r="M325" s="10">
        <v>0.78690000000000004</v>
      </c>
      <c r="N325" s="1"/>
    </row>
    <row r="326" spans="1:14" ht="15.75" hidden="1" x14ac:dyDescent="0.25">
      <c r="A326">
        <v>324</v>
      </c>
      <c r="B326" s="1" t="s">
        <v>344</v>
      </c>
      <c r="C326" s="5" t="s">
        <v>348</v>
      </c>
      <c r="D326" s="1">
        <v>15202</v>
      </c>
      <c r="E326" s="6">
        <v>508</v>
      </c>
      <c r="F326" s="6">
        <v>123</v>
      </c>
      <c r="G326" s="6">
        <v>116</v>
      </c>
      <c r="H326" s="7">
        <f>G326/F326*100</f>
        <v>94.308943089430898</v>
      </c>
      <c r="I326" s="8">
        <f>G326/(E326/100000)</f>
        <v>22834.645669291338</v>
      </c>
      <c r="J326" s="1">
        <v>5</v>
      </c>
      <c r="K326" s="9">
        <f>I326/100000</f>
        <v>0.22834645669291337</v>
      </c>
      <c r="L326" s="1"/>
      <c r="M326" s="10">
        <v>0.54920000000000002</v>
      </c>
      <c r="N326" s="1"/>
    </row>
    <row r="327" spans="1:14" ht="15.75" x14ac:dyDescent="0.25">
      <c r="A327">
        <v>325</v>
      </c>
      <c r="B327" s="4" t="s">
        <v>349</v>
      </c>
      <c r="C327" s="5" t="s">
        <v>350</v>
      </c>
      <c r="D327" s="1">
        <v>16101</v>
      </c>
      <c r="E327" s="6">
        <v>190382</v>
      </c>
      <c r="F327" s="6">
        <v>33121</v>
      </c>
      <c r="G327" s="6">
        <v>28816</v>
      </c>
      <c r="H327" s="7">
        <f>G327/F327*100</f>
        <v>87.002204039733101</v>
      </c>
      <c r="I327" s="8">
        <f>G327/(E327/100000)</f>
        <v>15135.884694981667</v>
      </c>
      <c r="J327" s="1">
        <v>2</v>
      </c>
      <c r="K327" s="9">
        <f>I327/100000</f>
        <v>0.15135884694981666</v>
      </c>
      <c r="L327" s="1">
        <v>0.64600000000000002</v>
      </c>
      <c r="M327" s="10">
        <v>0.27050000000000002</v>
      </c>
      <c r="N327" s="9">
        <f>0.3328+(0.3351*K327)-(0.3324*L327)+(0.333*M326)</f>
        <v>0.35167354961288355</v>
      </c>
    </row>
    <row r="328" spans="1:14" ht="15.75" x14ac:dyDescent="0.25">
      <c r="A328">
        <v>326</v>
      </c>
      <c r="B328" s="4" t="s">
        <v>349</v>
      </c>
      <c r="C328" s="5" t="s">
        <v>351</v>
      </c>
      <c r="D328" s="1">
        <v>16102</v>
      </c>
      <c r="E328" s="6">
        <v>23863</v>
      </c>
      <c r="F328" s="6">
        <v>4139</v>
      </c>
      <c r="G328" s="6">
        <v>4113</v>
      </c>
      <c r="H328" s="7">
        <f>G328/F328*100</f>
        <v>99.371828944189417</v>
      </c>
      <c r="I328" s="8">
        <f>G328/(E328/100000)</f>
        <v>17235.888195113774</v>
      </c>
      <c r="J328" s="1">
        <v>4</v>
      </c>
      <c r="K328" s="9">
        <f>I328/100000</f>
        <v>0.17235888195113774</v>
      </c>
      <c r="L328" s="1">
        <v>0.54800000000000004</v>
      </c>
      <c r="M328" s="10">
        <v>0.2606</v>
      </c>
      <c r="N328" s="9">
        <f>0.3328+(0.3351*K328)-(0.3324*L328)+(0.333*M327)</f>
        <v>0.29847876134182627</v>
      </c>
    </row>
    <row r="329" spans="1:14" ht="15.75" x14ac:dyDescent="0.25">
      <c r="A329">
        <v>327</v>
      </c>
      <c r="B329" s="4" t="s">
        <v>349</v>
      </c>
      <c r="C329" s="5" t="s">
        <v>352</v>
      </c>
      <c r="D329" s="1">
        <v>16103</v>
      </c>
      <c r="E329" s="6">
        <v>32688</v>
      </c>
      <c r="F329" s="6">
        <v>6012</v>
      </c>
      <c r="G329" s="6">
        <v>4135</v>
      </c>
      <c r="H329" s="7">
        <f>G329/F329*100</f>
        <v>68.779108449767136</v>
      </c>
      <c r="I329" s="8">
        <f>G329/(E329/100000)</f>
        <v>12649.90210474792</v>
      </c>
      <c r="J329" s="1">
        <v>2</v>
      </c>
      <c r="K329" s="9">
        <f>I329/100000</f>
        <v>0.1264990210474792</v>
      </c>
      <c r="L329" s="1">
        <v>0.61299999999999999</v>
      </c>
      <c r="M329" s="10">
        <v>0.23519999999999999</v>
      </c>
      <c r="N329" s="9">
        <f>0.3328+(0.3351*K329)-(0.3324*L329)+(0.333*M328)</f>
        <v>0.2582084219530103</v>
      </c>
    </row>
    <row r="330" spans="1:14" ht="15.75" x14ac:dyDescent="0.25">
      <c r="A330">
        <v>328</v>
      </c>
      <c r="B330" s="4" t="s">
        <v>349</v>
      </c>
      <c r="C330" s="5" t="s">
        <v>353</v>
      </c>
      <c r="D330" s="1">
        <v>16104</v>
      </c>
      <c r="E330" s="6">
        <v>13186</v>
      </c>
      <c r="F330" s="6">
        <v>2195</v>
      </c>
      <c r="G330" s="6">
        <v>2293</v>
      </c>
      <c r="H330" s="7">
        <f>G330/F330*100</f>
        <v>104.46469248291572</v>
      </c>
      <c r="I330" s="8">
        <f>G330/(E330/100000)</f>
        <v>17389.655695434551</v>
      </c>
      <c r="J330" s="1">
        <v>5</v>
      </c>
      <c r="K330" s="9">
        <f>I330/100000</f>
        <v>0.1738965569543455</v>
      </c>
      <c r="L330" s="1">
        <v>0.47199999999999998</v>
      </c>
      <c r="M330" s="10">
        <v>0.50250000000000006</v>
      </c>
      <c r="N330" s="9">
        <f>0.3328+(0.3351*K330)-(0.3324*L330)+(0.333*M329)</f>
        <v>0.31250153623540122</v>
      </c>
    </row>
    <row r="331" spans="1:14" ht="15.75" x14ac:dyDescent="0.25">
      <c r="A331">
        <v>329</v>
      </c>
      <c r="B331" s="4" t="s">
        <v>349</v>
      </c>
      <c r="C331" s="5" t="s">
        <v>354</v>
      </c>
      <c r="D331" s="1">
        <v>16105</v>
      </c>
      <c r="E331" s="6">
        <v>8930</v>
      </c>
      <c r="F331" s="6">
        <v>1517</v>
      </c>
      <c r="G331" s="6">
        <v>1503</v>
      </c>
      <c r="H331" s="7">
        <f>G331/F331*100</f>
        <v>99.077125906394201</v>
      </c>
      <c r="I331" s="8">
        <f>G331/(E331/100000)</f>
        <v>16830.907054871219</v>
      </c>
      <c r="J331" s="1">
        <v>5</v>
      </c>
      <c r="K331" s="9">
        <f>I331/100000</f>
        <v>0.16830907054871219</v>
      </c>
      <c r="L331" s="1">
        <v>0.497</v>
      </c>
      <c r="M331" s="10">
        <v>0.2858</v>
      </c>
      <c r="N331" s="9">
        <f>0.3328+(0.3351*K331)-(0.3324*L331)+(0.333*M330)</f>
        <v>0.39133006954087346</v>
      </c>
    </row>
    <row r="332" spans="1:14" ht="15.75" x14ac:dyDescent="0.25">
      <c r="A332">
        <v>330</v>
      </c>
      <c r="B332" s="4" t="s">
        <v>349</v>
      </c>
      <c r="C332" s="5" t="s">
        <v>355</v>
      </c>
      <c r="D332" s="1">
        <v>16106</v>
      </c>
      <c r="E332" s="6">
        <v>12502</v>
      </c>
      <c r="F332" s="6">
        <v>2006</v>
      </c>
      <c r="G332" s="6">
        <v>2237</v>
      </c>
      <c r="H332" s="7">
        <f>G332/F332*100</f>
        <v>111.51545363908275</v>
      </c>
      <c r="I332" s="8">
        <f>G332/(E332/100000)</f>
        <v>17893.137098064311</v>
      </c>
      <c r="J332" s="1">
        <v>5</v>
      </c>
      <c r="K332" s="9">
        <f>I332/100000</f>
        <v>0.1789313709806431</v>
      </c>
      <c r="L332" s="1">
        <v>0.52100000000000002</v>
      </c>
      <c r="M332" s="10">
        <v>0.53610000000000002</v>
      </c>
      <c r="N332" s="9">
        <f>0.3328+(0.3351*K332)-(0.3324*L332)+(0.333*M331)</f>
        <v>0.31475090241561349</v>
      </c>
    </row>
    <row r="333" spans="1:14" ht="15.75" x14ac:dyDescent="0.25">
      <c r="A333">
        <v>331</v>
      </c>
      <c r="B333" s="4" t="s">
        <v>349</v>
      </c>
      <c r="C333" s="5" t="s">
        <v>356</v>
      </c>
      <c r="D333" s="1">
        <v>16107</v>
      </c>
      <c r="E333" s="6">
        <v>19165</v>
      </c>
      <c r="F333" s="6">
        <v>3012</v>
      </c>
      <c r="G333" s="6">
        <v>4053</v>
      </c>
      <c r="H333" s="7">
        <f>G333/F333*100</f>
        <v>134.5617529880478</v>
      </c>
      <c r="I333" s="8">
        <f>G333/(E333/100000)</f>
        <v>21147.925906600576</v>
      </c>
      <c r="J333" s="1">
        <v>5</v>
      </c>
      <c r="K333" s="9">
        <f>I333/100000</f>
        <v>0.21147925906600576</v>
      </c>
      <c r="L333" s="1">
        <v>0.52900000000000003</v>
      </c>
      <c r="M333" s="10">
        <v>0.33029999999999998</v>
      </c>
      <c r="N333" s="9">
        <f>0.3328+(0.3351*K333)-(0.3324*L333)+(0.333*M332)</f>
        <v>0.4063483997130185</v>
      </c>
    </row>
    <row r="334" spans="1:14" ht="15.75" x14ac:dyDescent="0.25">
      <c r="A334">
        <v>332</v>
      </c>
      <c r="B334" s="4" t="s">
        <v>349</v>
      </c>
      <c r="C334" s="5" t="s">
        <v>357</v>
      </c>
      <c r="D334" s="1">
        <v>16108</v>
      </c>
      <c r="E334" s="6">
        <v>17405</v>
      </c>
      <c r="F334" s="6">
        <v>2792</v>
      </c>
      <c r="G334" s="6">
        <v>3170</v>
      </c>
      <c r="H334" s="7">
        <f>G334/F334*100</f>
        <v>113.53868194842407</v>
      </c>
      <c r="I334" s="8">
        <f>G334/(E334/100000)</f>
        <v>18213.157138753231</v>
      </c>
      <c r="J334" s="1">
        <v>5</v>
      </c>
      <c r="K334" s="9">
        <f>I334/100000</f>
        <v>0.1821315713875323</v>
      </c>
      <c r="L334" s="1">
        <v>0.437</v>
      </c>
      <c r="M334" s="10">
        <v>0.44319999999999998</v>
      </c>
      <c r="N334" s="9">
        <f>0.3328+(0.3351*K334)-(0.3324*L334)+(0.333*M333)</f>
        <v>0.35856338957196204</v>
      </c>
    </row>
    <row r="335" spans="1:14" ht="15.75" x14ac:dyDescent="0.25">
      <c r="A335">
        <v>333</v>
      </c>
      <c r="B335" s="4" t="s">
        <v>349</v>
      </c>
      <c r="C335" s="5" t="s">
        <v>358</v>
      </c>
      <c r="D335" s="1">
        <v>16109</v>
      </c>
      <c r="E335" s="6">
        <v>18680</v>
      </c>
      <c r="F335" s="6">
        <v>3065</v>
      </c>
      <c r="G335" s="6">
        <v>3369</v>
      </c>
      <c r="H335" s="7">
        <f>G335/F335*100</f>
        <v>109.9184339314845</v>
      </c>
      <c r="I335" s="8">
        <f>G335/(E335/100000)</f>
        <v>18035.331905781586</v>
      </c>
      <c r="J335" s="1">
        <v>3</v>
      </c>
      <c r="K335" s="9">
        <f>I335/100000</f>
        <v>0.18035331905781585</v>
      </c>
      <c r="L335" s="1">
        <v>0.56899999999999995</v>
      </c>
      <c r="M335" s="10">
        <v>0.40460000000000002</v>
      </c>
      <c r="N335" s="9">
        <f>0.3328+(0.3351*K335)-(0.3324*L335)+(0.333*M334)</f>
        <v>0.35168639721627415</v>
      </c>
    </row>
    <row r="336" spans="1:14" ht="15.75" x14ac:dyDescent="0.25">
      <c r="A336">
        <v>334</v>
      </c>
      <c r="B336" s="4" t="s">
        <v>349</v>
      </c>
      <c r="C336" s="5" t="s">
        <v>359</v>
      </c>
      <c r="D336" s="1">
        <v>16201</v>
      </c>
      <c r="E336" s="6">
        <v>11746</v>
      </c>
      <c r="F336" s="6">
        <v>1915</v>
      </c>
      <c r="G336" s="6">
        <v>2227</v>
      </c>
      <c r="H336" s="7">
        <f>G336/F336*100</f>
        <v>116.29242819843341</v>
      </c>
      <c r="I336" s="8">
        <f>G336/(E336/100000)</f>
        <v>18959.645836880642</v>
      </c>
      <c r="J336" s="1">
        <v>3</v>
      </c>
      <c r="K336" s="9">
        <f>I336/100000</f>
        <v>0.18959645836880643</v>
      </c>
      <c r="L336" s="1">
        <v>0.55400000000000005</v>
      </c>
      <c r="M336" s="10">
        <v>0.1817</v>
      </c>
      <c r="N336" s="9">
        <f>0.3328+(0.3351*K336)-(0.3324*L336)+(0.333*M335)</f>
        <v>0.34691597319938705</v>
      </c>
    </row>
    <row r="337" spans="1:14" ht="15.75" x14ac:dyDescent="0.25">
      <c r="A337">
        <v>335</v>
      </c>
      <c r="B337" s="4" t="s">
        <v>349</v>
      </c>
      <c r="C337" s="5" t="s">
        <v>360</v>
      </c>
      <c r="D337" s="1">
        <v>16202</v>
      </c>
      <c r="E337" s="6">
        <v>5495</v>
      </c>
      <c r="F337" s="6">
        <v>738</v>
      </c>
      <c r="G337" s="6">
        <v>1291</v>
      </c>
      <c r="H337" s="7">
        <f>G337/F337*100</f>
        <v>174.93224932249322</v>
      </c>
      <c r="I337" s="8">
        <f>G337/(E337/100000)</f>
        <v>23494.085532302095</v>
      </c>
      <c r="J337" s="1">
        <v>5</v>
      </c>
      <c r="K337" s="9">
        <f>I337/100000</f>
        <v>0.23494085532302095</v>
      </c>
      <c r="L337" s="1">
        <v>0.50600000000000001</v>
      </c>
      <c r="M337" s="10">
        <v>0.50770000000000004</v>
      </c>
      <c r="N337" s="9">
        <f>0.3328+(0.3351*K337)-(0.3324*L337)+(0.333*M336)</f>
        <v>0.3038403806187443</v>
      </c>
    </row>
    <row r="338" spans="1:14" ht="15.75" x14ac:dyDescent="0.25">
      <c r="A338">
        <v>336</v>
      </c>
      <c r="B338" s="4" t="s">
        <v>349</v>
      </c>
      <c r="C338" s="5" t="s">
        <v>361</v>
      </c>
      <c r="D338" s="1">
        <v>16203</v>
      </c>
      <c r="E338" s="6">
        <v>15895</v>
      </c>
      <c r="F338" s="6">
        <v>2697</v>
      </c>
      <c r="G338" s="6">
        <v>2956</v>
      </c>
      <c r="H338" s="7">
        <f>G338/F338*100</f>
        <v>109.60326288468669</v>
      </c>
      <c r="I338" s="8">
        <f>G338/(E338/100000)</f>
        <v>18597.043095312991</v>
      </c>
      <c r="J338" s="1">
        <v>5</v>
      </c>
      <c r="K338" s="9">
        <f>I338/100000</f>
        <v>0.1859704309531299</v>
      </c>
      <c r="L338" s="1">
        <v>0.56599999999999995</v>
      </c>
      <c r="M338" s="10">
        <v>0.34510000000000002</v>
      </c>
      <c r="N338" s="9">
        <f>0.3328+(0.3351*K338)-(0.3324*L338)+(0.333*M337)</f>
        <v>0.37604439141239387</v>
      </c>
    </row>
    <row r="339" spans="1:14" ht="15.75" x14ac:dyDescent="0.25">
      <c r="A339">
        <v>337</v>
      </c>
      <c r="B339" s="4" t="s">
        <v>349</v>
      </c>
      <c r="C339" s="5" t="s">
        <v>362</v>
      </c>
      <c r="D339" s="1">
        <v>16204</v>
      </c>
      <c r="E339" s="6">
        <v>5763</v>
      </c>
      <c r="F339" s="6">
        <v>843</v>
      </c>
      <c r="G339" s="6">
        <v>1227</v>
      </c>
      <c r="H339" s="7">
        <f>G339/F339*100</f>
        <v>145.55160142348754</v>
      </c>
      <c r="I339" s="8">
        <f>G339/(E339/100000)</f>
        <v>21290.994273815722</v>
      </c>
      <c r="J339" s="1">
        <v>5</v>
      </c>
      <c r="K339" s="9">
        <f>I339/100000</f>
        <v>0.21290994273815722</v>
      </c>
      <c r="L339" s="1">
        <v>0.436</v>
      </c>
      <c r="M339" s="10">
        <v>0.68390000000000006</v>
      </c>
      <c r="N339" s="9">
        <f>0.3328+(0.3351*K339)-(0.3324*L339)+(0.333*M338)</f>
        <v>0.37413802181155653</v>
      </c>
    </row>
    <row r="340" spans="1:14" ht="15.75" x14ac:dyDescent="0.25">
      <c r="A340">
        <v>338</v>
      </c>
      <c r="B340" s="4" t="s">
        <v>349</v>
      </c>
      <c r="C340" s="5" t="s">
        <v>363</v>
      </c>
      <c r="D340" s="1">
        <v>16205</v>
      </c>
      <c r="E340" s="6">
        <v>5203</v>
      </c>
      <c r="F340" s="6">
        <v>738</v>
      </c>
      <c r="G340" s="6">
        <v>1124</v>
      </c>
      <c r="H340" s="7">
        <f>G340/F340*100</f>
        <v>152.30352303523037</v>
      </c>
      <c r="I340" s="8">
        <f>G340/(E340/100000)</f>
        <v>21602.9213915049</v>
      </c>
      <c r="J340" s="1">
        <v>5</v>
      </c>
      <c r="K340" s="9">
        <f>I340/100000</f>
        <v>0.21602921391504901</v>
      </c>
      <c r="L340" s="1">
        <v>0.44400000000000001</v>
      </c>
      <c r="M340" s="10">
        <v>0.39629999999999999</v>
      </c>
      <c r="N340" s="9">
        <f>0.3328+(0.3351*K340)-(0.3324*L340)+(0.333*M339)</f>
        <v>0.48534448958293297</v>
      </c>
    </row>
    <row r="341" spans="1:14" ht="15.75" x14ac:dyDescent="0.25">
      <c r="A341">
        <v>339</v>
      </c>
      <c r="B341" s="4" t="s">
        <v>349</v>
      </c>
      <c r="C341" s="5" t="s">
        <v>364</v>
      </c>
      <c r="D341" s="1">
        <v>16206</v>
      </c>
      <c r="E341" s="6">
        <v>6508</v>
      </c>
      <c r="F341" s="6">
        <v>1049</v>
      </c>
      <c r="G341" s="6">
        <v>1484</v>
      </c>
      <c r="H341" s="7">
        <f>G341/F341*100</f>
        <v>141.46806482364155</v>
      </c>
      <c r="I341" s="8">
        <f>G341/(E341/100000)</f>
        <v>22802.704363859866</v>
      </c>
      <c r="J341" s="1">
        <v>4</v>
      </c>
      <c r="K341" s="9">
        <f>I341/100000</f>
        <v>0.22802704363859866</v>
      </c>
      <c r="L341" s="1">
        <v>0.57799999999999996</v>
      </c>
      <c r="M341" s="10">
        <v>0.22950000000000001</v>
      </c>
      <c r="N341" s="9">
        <f>0.3328+(0.3351*K341)-(0.3324*L341)+(0.333*M340)</f>
        <v>0.34905256232329446</v>
      </c>
    </row>
    <row r="342" spans="1:14" ht="15.75" x14ac:dyDescent="0.25">
      <c r="A342">
        <v>340</v>
      </c>
      <c r="B342" s="4" t="s">
        <v>349</v>
      </c>
      <c r="C342" s="5" t="s">
        <v>365</v>
      </c>
      <c r="D342" s="1">
        <v>16207</v>
      </c>
      <c r="E342" s="6">
        <v>6124</v>
      </c>
      <c r="F342" s="6">
        <v>945</v>
      </c>
      <c r="G342" s="6">
        <v>1172</v>
      </c>
      <c r="H342" s="7">
        <f>G342/F342*100</f>
        <v>124.02116402116403</v>
      </c>
      <c r="I342" s="8">
        <f>G342/(E342/100000)</f>
        <v>19137.818419333769</v>
      </c>
      <c r="J342" s="1">
        <v>5</v>
      </c>
      <c r="K342" s="9">
        <f>I342/100000</f>
        <v>0.19137818419333769</v>
      </c>
      <c r="L342" s="1">
        <v>0.48699999999999999</v>
      </c>
      <c r="M342" s="10">
        <v>0.76950000000000007</v>
      </c>
      <c r="N342" s="9">
        <f>0.3328+(0.3351*K342)-(0.3324*L342)+(0.333*M341)</f>
        <v>0.31147552952318747</v>
      </c>
    </row>
    <row r="343" spans="1:14" ht="15.75" x14ac:dyDescent="0.25">
      <c r="A343">
        <v>341</v>
      </c>
      <c r="B343" s="4" t="s">
        <v>349</v>
      </c>
      <c r="C343" s="5" t="s">
        <v>366</v>
      </c>
      <c r="D343" s="1">
        <v>16301</v>
      </c>
      <c r="E343" s="6">
        <v>55847</v>
      </c>
      <c r="F343" s="6">
        <v>9506</v>
      </c>
      <c r="G343" s="6">
        <v>9509</v>
      </c>
      <c r="H343" s="7">
        <f>G343/F343*100</f>
        <v>100.03155901535872</v>
      </c>
      <c r="I343" s="8">
        <f>G343/(E343/100000)</f>
        <v>17026.877003240996</v>
      </c>
      <c r="J343" s="1">
        <v>3</v>
      </c>
      <c r="K343" s="9">
        <f>I343/100000</f>
        <v>0.17026877003240995</v>
      </c>
      <c r="L343" s="1">
        <v>0.54900000000000004</v>
      </c>
      <c r="M343" s="10">
        <v>0.18640000000000001</v>
      </c>
      <c r="N343" s="9">
        <f>0.3328+(0.3351*K343)-(0.3324*L343)+(0.333*M342)</f>
        <v>0.46361296483786052</v>
      </c>
    </row>
    <row r="344" spans="1:14" ht="15.75" x14ac:dyDescent="0.25">
      <c r="A344">
        <v>342</v>
      </c>
      <c r="B344" s="4" t="s">
        <v>349</v>
      </c>
      <c r="C344" s="5" t="s">
        <v>367</v>
      </c>
      <c r="D344" s="1">
        <v>16302</v>
      </c>
      <c r="E344" s="6">
        <v>29766</v>
      </c>
      <c r="F344" s="6">
        <v>5492</v>
      </c>
      <c r="G344" s="6">
        <v>4233</v>
      </c>
      <c r="H344" s="7">
        <f>G344/F344*100</f>
        <v>77.075746540422429</v>
      </c>
      <c r="I344" s="8">
        <f>G344/(E344/100000)</f>
        <v>14220.923200967547</v>
      </c>
      <c r="J344" s="1">
        <v>5</v>
      </c>
      <c r="K344" s="9">
        <f>I344/100000</f>
        <v>0.14220923200967547</v>
      </c>
      <c r="L344" s="1">
        <v>0.496</v>
      </c>
      <c r="M344" s="10">
        <v>0.30409999999999998</v>
      </c>
      <c r="N344" s="9">
        <f>0.3328+(0.3351*K344)-(0.3324*L344)+(0.333*M343)</f>
        <v>0.27765511364644224</v>
      </c>
    </row>
    <row r="345" spans="1:14" ht="15.75" x14ac:dyDescent="0.25">
      <c r="A345">
        <v>343</v>
      </c>
      <c r="B345" s="4" t="s">
        <v>349</v>
      </c>
      <c r="C345" s="5" t="s">
        <v>368</v>
      </c>
      <c r="D345" s="1">
        <v>16303</v>
      </c>
      <c r="E345" s="6">
        <v>12797</v>
      </c>
      <c r="F345" s="6">
        <v>1976</v>
      </c>
      <c r="G345" s="6">
        <v>2781</v>
      </c>
      <c r="H345" s="7">
        <f>G345/F345*100</f>
        <v>140.73886639676115</v>
      </c>
      <c r="I345" s="8">
        <f>G345/(E345/100000)</f>
        <v>21731.655856841448</v>
      </c>
      <c r="J345" s="1">
        <v>5</v>
      </c>
      <c r="K345" s="9">
        <f>I345/100000</f>
        <v>0.21731655856841448</v>
      </c>
      <c r="L345" s="1">
        <v>0.58199999999999996</v>
      </c>
      <c r="M345" s="10">
        <v>0.41</v>
      </c>
      <c r="N345" s="9">
        <f>0.3328+(0.3351*K345)-(0.3324*L345)+(0.333*M344)</f>
        <v>0.31343127877627569</v>
      </c>
    </row>
    <row r="346" spans="1:14" ht="16.5" thickBot="1" x14ac:dyDescent="0.3">
      <c r="A346">
        <v>344</v>
      </c>
      <c r="B346" s="4" t="s">
        <v>349</v>
      </c>
      <c r="C346" s="5" t="s">
        <v>369</v>
      </c>
      <c r="D346" s="12">
        <v>16304</v>
      </c>
      <c r="E346" s="6">
        <v>5245</v>
      </c>
      <c r="F346" s="6">
        <v>950</v>
      </c>
      <c r="G346" s="6">
        <v>960</v>
      </c>
      <c r="H346" s="7">
        <f>G346/F346*100</f>
        <v>101.05263157894737</v>
      </c>
      <c r="I346" s="8">
        <f>G346/(E346/100000)</f>
        <v>18303.14585319352</v>
      </c>
      <c r="J346" s="1">
        <v>5</v>
      </c>
      <c r="K346" s="9">
        <f>I346/100000</f>
        <v>0.1830314585319352</v>
      </c>
      <c r="L346" s="1">
        <v>0.503</v>
      </c>
      <c r="M346" s="10">
        <v>0.40920000000000001</v>
      </c>
      <c r="N346" s="9">
        <f>0.3328+(0.3351*K346)-(0.3324*L346)+(0.333*M345)</f>
        <v>0.36346664175405152</v>
      </c>
    </row>
    <row r="347" spans="1:14" ht="16.5" thickTop="1" x14ac:dyDescent="0.25">
      <c r="A347">
        <v>345</v>
      </c>
      <c r="B347" s="4" t="s">
        <v>349</v>
      </c>
      <c r="C347" s="5" t="s">
        <v>370</v>
      </c>
      <c r="D347" s="1">
        <v>16305</v>
      </c>
      <c r="E347" s="6">
        <v>15099</v>
      </c>
      <c r="F347" s="6">
        <v>2588</v>
      </c>
      <c r="G347" s="6">
        <v>2581</v>
      </c>
      <c r="H347" s="7">
        <f>G347/F347*100</f>
        <v>99.729520865533232</v>
      </c>
      <c r="I347" s="8">
        <f>G347/(E347/100000)</f>
        <v>17093.847274653948</v>
      </c>
      <c r="J347" s="1">
        <v>5</v>
      </c>
      <c r="K347" s="9">
        <f>I347/100000</f>
        <v>0.17093847274653948</v>
      </c>
      <c r="L347" s="1">
        <v>0.54600000000000004</v>
      </c>
      <c r="M347" s="10">
        <v>0.38840000000000002</v>
      </c>
      <c r="N347" s="9">
        <f>0.3328+(0.3351*K347)-(0.3324*L347)+(0.333*M346)</f>
        <v>0.34485468221736537</v>
      </c>
    </row>
    <row r="348" spans="1:14" ht="15.75" hidden="1" x14ac:dyDescent="0.25">
      <c r="A348">
        <v>346</v>
      </c>
      <c r="B348" s="4" t="s">
        <v>268</v>
      </c>
      <c r="C348" s="5" t="s">
        <v>371</v>
      </c>
      <c r="D348" s="5" t="s">
        <v>372</v>
      </c>
      <c r="E348" s="6">
        <v>60</v>
      </c>
      <c r="F348" s="6">
        <v>0</v>
      </c>
      <c r="G348" s="6">
        <v>0</v>
      </c>
      <c r="H348" s="7" t="s">
        <v>373</v>
      </c>
      <c r="I348" s="8">
        <f>G348/(E348/100000)</f>
        <v>0</v>
      </c>
      <c r="J348" s="1">
        <v>5</v>
      </c>
      <c r="K348" s="9">
        <f>I348/100000</f>
        <v>0</v>
      </c>
      <c r="L348" s="1"/>
      <c r="N348" s="1"/>
    </row>
    <row r="349" spans="1:14" hidden="1" x14ac:dyDescent="0.25">
      <c r="A349">
        <v>347</v>
      </c>
      <c r="B349" s="1"/>
      <c r="C349" s="10"/>
      <c r="D349" s="10"/>
      <c r="E349" s="7">
        <v>18480432</v>
      </c>
      <c r="F349" s="7">
        <v>3274648</v>
      </c>
      <c r="G349" s="7">
        <v>2587238</v>
      </c>
      <c r="H349" s="7">
        <f>G349/F349*100</f>
        <v>79.008125453483856</v>
      </c>
      <c r="I349" s="8">
        <f>(G349/E349)*100000</f>
        <v>13999.878357821937</v>
      </c>
      <c r="J349" s="1"/>
      <c r="K349" s="9">
        <f>I349/100000</f>
        <v>0.13999878357821938</v>
      </c>
      <c r="L349" s="1"/>
      <c r="M349" s="1"/>
      <c r="N349" s="1"/>
    </row>
    <row r="350" spans="1:14" ht="15.75" hidden="1" x14ac:dyDescent="0.25">
      <c r="A350">
        <v>348</v>
      </c>
      <c r="B350" s="5" t="s">
        <v>344</v>
      </c>
      <c r="C350" s="5"/>
      <c r="D350" s="5"/>
      <c r="E350" s="6">
        <v>244569</v>
      </c>
      <c r="F350" s="6">
        <v>48030</v>
      </c>
      <c r="G350" s="6">
        <v>31236</v>
      </c>
      <c r="H350" s="7">
        <f>G350/F350*100</f>
        <v>65.034353529044338</v>
      </c>
      <c r="I350" s="8">
        <f>(G350/E350)*100000</f>
        <v>12771.855795297033</v>
      </c>
      <c r="J350" s="1"/>
      <c r="K350" s="9">
        <f>I350/100000</f>
        <v>0.12771855795297032</v>
      </c>
      <c r="L350" s="1"/>
      <c r="M350" s="1"/>
      <c r="N350" s="1"/>
    </row>
    <row r="351" spans="1:14" ht="15.75" hidden="1" x14ac:dyDescent="0.25">
      <c r="A351">
        <v>349</v>
      </c>
      <c r="B351" s="5" t="s">
        <v>13</v>
      </c>
      <c r="C351" s="5"/>
      <c r="D351" s="5"/>
      <c r="E351" s="6">
        <v>369806</v>
      </c>
      <c r="F351" s="6">
        <v>80532</v>
      </c>
      <c r="G351" s="6">
        <v>35328</v>
      </c>
      <c r="H351" s="7">
        <f>G351/F351*100</f>
        <v>43.868275964833856</v>
      </c>
      <c r="I351" s="8">
        <f>G351/(E351/100000)</f>
        <v>9553.1170397451642</v>
      </c>
      <c r="J351" s="1"/>
      <c r="K351" s="9">
        <f>I351/100000</f>
        <v>9.553117039745164E-2</v>
      </c>
      <c r="L351" s="1"/>
      <c r="M351" s="1"/>
      <c r="N351" s="1"/>
    </row>
    <row r="352" spans="1:14" ht="15.75" hidden="1" x14ac:dyDescent="0.25">
      <c r="A352">
        <v>350</v>
      </c>
      <c r="B352" s="5" t="s">
        <v>23</v>
      </c>
      <c r="C352" s="5"/>
      <c r="D352" s="5"/>
      <c r="E352" s="6">
        <v>635416</v>
      </c>
      <c r="F352" s="6">
        <v>124952</v>
      </c>
      <c r="G352" s="6">
        <v>61569</v>
      </c>
      <c r="H352" s="7">
        <f>G352/F352*100</f>
        <v>49.274121262564826</v>
      </c>
      <c r="I352" s="8">
        <f>G352/(E352/100000)</f>
        <v>9689.5577070769377</v>
      </c>
      <c r="J352" s="1"/>
      <c r="K352" s="9">
        <f>I352/100000</f>
        <v>9.6895577070769373E-2</v>
      </c>
      <c r="L352" s="1"/>
      <c r="M352" s="1"/>
      <c r="N352" s="1"/>
    </row>
    <row r="353" spans="1:20" ht="15.75" hidden="1" x14ac:dyDescent="0.25">
      <c r="A353">
        <v>351</v>
      </c>
      <c r="B353" s="5" t="s">
        <v>32</v>
      </c>
      <c r="C353" s="5"/>
      <c r="D353" s="5"/>
      <c r="E353" s="6">
        <v>299180</v>
      </c>
      <c r="F353" s="6">
        <v>59103</v>
      </c>
      <c r="G353" s="6">
        <v>37648</v>
      </c>
      <c r="H353" s="7">
        <f>G353/F353*100</f>
        <v>63.698966211529026</v>
      </c>
      <c r="I353" s="8">
        <f>G353/(E353/100000)</f>
        <v>12583.728858880941</v>
      </c>
      <c r="J353" s="1"/>
      <c r="K353" s="9">
        <f>I353/100000</f>
        <v>0.12583728858880941</v>
      </c>
      <c r="L353" s="1"/>
      <c r="M353" s="1"/>
      <c r="N353" s="1"/>
    </row>
    <row r="354" spans="1:20" ht="15.75" hidden="1" x14ac:dyDescent="0.25">
      <c r="A354">
        <v>352</v>
      </c>
      <c r="B354" s="5" t="s">
        <v>42</v>
      </c>
      <c r="C354" s="5"/>
      <c r="D354" s="5"/>
      <c r="E354" s="6">
        <v>832864</v>
      </c>
      <c r="F354" s="6">
        <v>154429</v>
      </c>
      <c r="G354" s="6">
        <v>119776</v>
      </c>
      <c r="H354" s="7">
        <f>G354/F354*100</f>
        <v>77.560561811576846</v>
      </c>
      <c r="I354" s="8">
        <f>G354/(E354/100000)</f>
        <v>14381.219502823991</v>
      </c>
      <c r="J354" s="1"/>
      <c r="K354" s="9">
        <f>I354/100000</f>
        <v>0.14381219502823991</v>
      </c>
      <c r="L354" s="1"/>
      <c r="M354" s="1"/>
      <c r="N354" s="1"/>
    </row>
    <row r="355" spans="1:20" ht="15.75" hidden="1" x14ac:dyDescent="0.25">
      <c r="A355">
        <v>353</v>
      </c>
      <c r="B355" s="5" t="s">
        <v>57</v>
      </c>
      <c r="C355" s="5"/>
      <c r="D355" s="5"/>
      <c r="E355" s="6">
        <v>1896053</v>
      </c>
      <c r="F355" s="6">
        <v>318729</v>
      </c>
      <c r="G355" s="6">
        <v>314343</v>
      </c>
      <c r="H355" s="7">
        <f>G355/F355*100</f>
        <v>98.62390933990946</v>
      </c>
      <c r="I355" s="8">
        <f>G355/(E355/100000)</f>
        <v>16578.808714735296</v>
      </c>
      <c r="J355" s="1"/>
      <c r="K355" s="9">
        <f>I355/100000</f>
        <v>0.16578808714735296</v>
      </c>
      <c r="L355" s="1"/>
      <c r="M355" s="1"/>
      <c r="N355" s="1"/>
      <c r="P355" s="14"/>
      <c r="R355" s="14"/>
      <c r="S355" s="14"/>
      <c r="T355" s="14"/>
    </row>
    <row r="356" spans="1:20" ht="15.75" hidden="1" x14ac:dyDescent="0.25">
      <c r="A356">
        <v>354</v>
      </c>
      <c r="B356" s="5" t="s">
        <v>279</v>
      </c>
      <c r="C356" s="5"/>
      <c r="D356" s="5"/>
      <c r="E356" s="6">
        <v>7400741</v>
      </c>
      <c r="F356" s="6">
        <v>1278557</v>
      </c>
      <c r="G356" s="6">
        <v>974084</v>
      </c>
      <c r="H356" s="7">
        <f>G356/F356*100</f>
        <v>76.186200537011644</v>
      </c>
      <c r="I356" s="8">
        <f>G356/(E356/100000)</f>
        <v>13161.979320719372</v>
      </c>
      <c r="J356" s="1"/>
      <c r="K356" s="9">
        <f>I356/100000</f>
        <v>0.13161979320719372</v>
      </c>
      <c r="L356" s="1"/>
      <c r="N356" s="1"/>
      <c r="P356" s="14"/>
      <c r="R356" s="14"/>
      <c r="S356" s="14"/>
      <c r="T356" s="14"/>
    </row>
    <row r="357" spans="1:20" ht="15.75" hidden="1" x14ac:dyDescent="0.25">
      <c r="A357">
        <v>355</v>
      </c>
      <c r="B357" s="5" t="s">
        <v>95</v>
      </c>
      <c r="C357" s="5"/>
      <c r="D357" s="5"/>
      <c r="E357" s="6">
        <v>987228</v>
      </c>
      <c r="F357" s="6">
        <v>178317</v>
      </c>
      <c r="G357" s="6">
        <v>148207</v>
      </c>
      <c r="H357" s="7">
        <f>G357/F357*100</f>
        <v>83.114341313503488</v>
      </c>
      <c r="I357" s="8">
        <f>G357/(E357/100000)</f>
        <v>15012.438869237907</v>
      </c>
      <c r="J357" s="1"/>
      <c r="K357" s="9">
        <f>I357/100000</f>
        <v>0.15012438869237907</v>
      </c>
      <c r="L357" s="1"/>
      <c r="M357" s="1"/>
      <c r="N357" s="1"/>
      <c r="Q357">
        <v>356</v>
      </c>
    </row>
    <row r="358" spans="1:20" ht="15.75" hidden="1" x14ac:dyDescent="0.25">
      <c r="A358">
        <v>356</v>
      </c>
      <c r="B358" s="5" t="s">
        <v>129</v>
      </c>
      <c r="C358" s="5"/>
      <c r="D358" s="5"/>
      <c r="E358" s="6">
        <v>1123008</v>
      </c>
      <c r="F358" s="6">
        <v>203730</v>
      </c>
      <c r="G358" s="6">
        <v>170875</v>
      </c>
      <c r="H358" s="7">
        <f>G358/F358*100</f>
        <v>83.873263633240072</v>
      </c>
      <c r="I358" s="8">
        <f>G358/(E358/100000)</f>
        <v>15215.831053741382</v>
      </c>
      <c r="J358" s="1"/>
      <c r="K358" s="9">
        <f>I358/100000</f>
        <v>0.15215831053741383</v>
      </c>
      <c r="L358" s="1"/>
      <c r="M358" s="1"/>
      <c r="N358" s="1"/>
    </row>
    <row r="359" spans="1:20" ht="15.75" hidden="1" x14ac:dyDescent="0.25">
      <c r="A359">
        <v>357</v>
      </c>
      <c r="B359" s="5" t="s">
        <v>349</v>
      </c>
      <c r="C359" s="5"/>
      <c r="D359" s="5"/>
      <c r="E359" s="6">
        <v>512289</v>
      </c>
      <c r="F359" s="6">
        <v>87296</v>
      </c>
      <c r="G359" s="6">
        <v>85234</v>
      </c>
      <c r="H359" s="7">
        <f>G359/F359*100</f>
        <v>97.637921554252188</v>
      </c>
      <c r="I359" s="8">
        <f>G359/(E359/100000)</f>
        <v>16637.874324843986</v>
      </c>
      <c r="J359" s="1"/>
      <c r="K359" s="9">
        <f>I359/100000</f>
        <v>0.16637874324843985</v>
      </c>
      <c r="L359" s="1"/>
      <c r="N359" s="1"/>
    </row>
    <row r="360" spans="1:20" ht="15.75" hidden="1" x14ac:dyDescent="0.25">
      <c r="A360">
        <v>358</v>
      </c>
      <c r="B360" s="5" t="s">
        <v>159</v>
      </c>
      <c r="C360" s="5"/>
      <c r="D360" s="5"/>
      <c r="E360" s="6">
        <v>1613059</v>
      </c>
      <c r="F360" s="6">
        <v>282689</v>
      </c>
      <c r="G360" s="6">
        <v>237831</v>
      </c>
      <c r="H360" s="7">
        <f>G360/F360*100</f>
        <v>84.131678275419276</v>
      </c>
      <c r="I360" s="8">
        <f>G360/(E360/100000)</f>
        <v>14744.098015013709</v>
      </c>
      <c r="J360" s="1"/>
      <c r="K360" s="9">
        <f>I360/100000</f>
        <v>0.1474409801501371</v>
      </c>
      <c r="L360" s="1"/>
      <c r="M360" s="1"/>
      <c r="N360" s="1"/>
      <c r="Q360">
        <v>359</v>
      </c>
    </row>
    <row r="361" spans="1:20" ht="15.75" hidden="1" x14ac:dyDescent="0.25">
      <c r="A361">
        <v>359</v>
      </c>
      <c r="B361" s="5" t="s">
        <v>193</v>
      </c>
      <c r="C361" s="5"/>
      <c r="D361" s="5"/>
      <c r="E361" s="6">
        <v>1010423</v>
      </c>
      <c r="F361" s="6">
        <v>184736</v>
      </c>
      <c r="G361" s="6">
        <v>153285</v>
      </c>
      <c r="H361" s="7">
        <f>G361/F361*100</f>
        <v>82.975164559154692</v>
      </c>
      <c r="I361" s="8">
        <f>G361/(E361/100000)</f>
        <v>15170.379138242104</v>
      </c>
      <c r="J361" s="1"/>
      <c r="K361" s="9">
        <f>I361/100000</f>
        <v>0.15170379138242104</v>
      </c>
      <c r="L361" s="1"/>
      <c r="M361" s="1"/>
      <c r="N361" s="1"/>
    </row>
    <row r="362" spans="1:20" ht="15.75" hidden="1" x14ac:dyDescent="0.25">
      <c r="A362">
        <v>360</v>
      </c>
      <c r="B362" s="5" t="s">
        <v>332</v>
      </c>
      <c r="C362" s="5"/>
      <c r="D362" s="5"/>
      <c r="E362" s="6">
        <v>398230</v>
      </c>
      <c r="F362" s="6">
        <v>68712</v>
      </c>
      <c r="G362" s="6">
        <v>61287</v>
      </c>
      <c r="H362" s="7">
        <f>G362/F362*100</f>
        <v>89.194027244149495</v>
      </c>
      <c r="I362" s="8">
        <f>G362/(E362/100000)</f>
        <v>15389.850086633352</v>
      </c>
      <c r="J362" s="1"/>
      <c r="K362" s="9">
        <f>I362/100000</f>
        <v>0.15389850086633353</v>
      </c>
      <c r="L362" s="1"/>
      <c r="N362" s="1"/>
      <c r="P362" s="14"/>
      <c r="R362" s="14"/>
      <c r="S362" s="14"/>
    </row>
    <row r="363" spans="1:20" ht="15.75" hidden="1" x14ac:dyDescent="0.25">
      <c r="A363">
        <v>361</v>
      </c>
      <c r="B363" s="5" t="s">
        <v>226</v>
      </c>
      <c r="C363" s="5"/>
      <c r="D363" s="5"/>
      <c r="E363" s="6">
        <v>890284</v>
      </c>
      <c r="F363" s="6">
        <v>157838</v>
      </c>
      <c r="G363" s="6">
        <v>119628</v>
      </c>
      <c r="H363" s="7">
        <f>G363/F363*100</f>
        <v>75.791634460649533</v>
      </c>
      <c r="I363" s="8">
        <f>G363/(E363/100000)</f>
        <v>13437.060533492684</v>
      </c>
      <c r="J363" s="1"/>
      <c r="K363" s="9">
        <f>I363/100000</f>
        <v>0.13437060533492684</v>
      </c>
      <c r="L363" s="1"/>
      <c r="M363" s="1"/>
      <c r="N363" s="1"/>
      <c r="Q363">
        <v>362</v>
      </c>
    </row>
    <row r="364" spans="1:20" ht="15.75" hidden="1" x14ac:dyDescent="0.25">
      <c r="A364">
        <v>362</v>
      </c>
      <c r="B364" s="5" t="s">
        <v>257</v>
      </c>
      <c r="C364" s="5"/>
      <c r="D364" s="5"/>
      <c r="E364" s="6">
        <v>100745</v>
      </c>
      <c r="F364" s="6">
        <v>19199</v>
      </c>
      <c r="G364" s="6">
        <v>12705</v>
      </c>
      <c r="H364" s="7">
        <f>G364/F364*100</f>
        <v>66.175321631334967</v>
      </c>
      <c r="I364" s="8">
        <f>G364/(E364/100000)</f>
        <v>12611.047694674675</v>
      </c>
      <c r="J364" s="1"/>
      <c r="K364" s="9">
        <f>I364/100000</f>
        <v>0.12611047694674674</v>
      </c>
      <c r="L364" s="1"/>
      <c r="N364" s="1"/>
      <c r="P364" s="14"/>
      <c r="R364" s="14"/>
      <c r="S364" s="14"/>
      <c r="T364" s="14"/>
    </row>
    <row r="365" spans="1:20" ht="15.75" hidden="1" x14ac:dyDescent="0.25">
      <c r="A365">
        <v>363</v>
      </c>
      <c r="B365" s="5" t="s">
        <v>268</v>
      </c>
      <c r="C365" s="5"/>
      <c r="D365" s="5"/>
      <c r="E365" s="6">
        <v>166537</v>
      </c>
      <c r="F365" s="6">
        <v>27799</v>
      </c>
      <c r="G365" s="6">
        <v>24202</v>
      </c>
      <c r="H365" s="7">
        <f>G365/F365*100</f>
        <v>87.060685636173957</v>
      </c>
      <c r="I365" s="8">
        <f>G365/(E365/100000)</f>
        <v>14532.506289893538</v>
      </c>
      <c r="J365" s="1"/>
      <c r="K365" s="9">
        <f>I365/100000</f>
        <v>0.14532506289893538</v>
      </c>
      <c r="L365" s="1"/>
      <c r="N365" s="1"/>
      <c r="Q365">
        <v>362</v>
      </c>
    </row>
  </sheetData>
  <autoFilter ref="A2:N365" xr:uid="{6EF0A099-62BD-4B04-9988-0608DFBD298B}">
    <filterColumn colId="1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345 Municipalidades con codigo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JuanPablo Sarmiento</dc:creator>
  <cp:lastModifiedBy>JuanPablo Sarmiento</cp:lastModifiedBy>
  <dcterms:created xsi:type="dcterms:W3CDTF">2026-09-11T16:04:24Z</dcterms:created>
  <dcterms:modified xsi:type="dcterms:W3CDTF">2026-09-11T16:05:49Z</dcterms:modified>
</cp:coreProperties>
</file>